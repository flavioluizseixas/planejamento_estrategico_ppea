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Plano de Ação MPEA" sheetId="2" state="visible" r:id="rId2"/>
    <sheet xmlns:r="http://schemas.openxmlformats.org/officeDocument/2006/relationships" name="Programação" sheetId="3" state="visible" r:id="rId3"/>
    <sheet xmlns:r="http://schemas.openxmlformats.org/officeDocument/2006/relationships" name="Autoavaliação PPEA" sheetId="4" state="visible" r:id="rId4"/>
    <sheet xmlns:r="http://schemas.openxmlformats.org/officeDocument/2006/relationships" name="OKRs" sheetId="5" state="visible" r:id="rId5"/>
    <sheet xmlns:r="http://schemas.openxmlformats.org/officeDocument/2006/relationships" name="KRs" sheetId="6" state="visible" r:id="rId6"/>
    <sheet xmlns:r="http://schemas.openxmlformats.org/officeDocument/2006/relationships" name="KPIs" sheetId="7" state="visible" r:id="rId7"/>
    <sheet xmlns:r="http://schemas.openxmlformats.org/officeDocument/2006/relationships" name="OKR_KPI" sheetId="8" state="visible" r:id="rId8"/>
    <sheet xmlns:r="http://schemas.openxmlformats.org/officeDocument/2006/relationships" name="Ações_OKR" sheetId="9" state="visible" r:id="rId9"/>
    <sheet xmlns:r="http://schemas.openxmlformats.org/officeDocument/2006/relationships" name="KPI_Tracking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Ações_KR" sheetId="12" state="visible" r:id="rId12"/>
    <sheet xmlns:r="http://schemas.openxmlformats.org/officeDocument/2006/relationships" name="AÇÃO_KR_MAP" sheetId="13" state="visible" r:id="rId13"/>
    <sheet xmlns:r="http://schemas.openxmlformats.org/officeDocument/2006/relationships" name="AÇÃO_KPI_MAP" sheetId="14" state="visible" r:id="rId14"/>
    <sheet xmlns:r="http://schemas.openxmlformats.org/officeDocument/2006/relationships" name="LISTAS" sheetId="15" state="hidden" r:id="rId15"/>
  </sheets>
  <definedNames>
    <definedName name="valuevx">42.314159</definedName>
    <definedName name="LISTA_KR_IDS">LISTAS!$A$2:$A$18</definedName>
    <definedName name="_xlnm._FilterDatabase" localSheetId="1" hidden="1">'Plano de Ação MPEA'!$D$6:$L$6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color theme="1"/>
      <sz val="11"/>
      <scheme val="minor"/>
    </font>
    <font>
      <name val="Arial"/>
      <color theme="1"/>
      <sz val="11"/>
    </font>
    <font>
      <name val="Arial"/>
      <b val="1"/>
      <color rgb="FF215940"/>
      <sz val="24"/>
      <u val="single"/>
    </font>
    <font>
      <name val="Arial"/>
      <b val="1"/>
      <color rgb="FF215940"/>
      <sz val="24"/>
    </font>
    <font/>
    <font>
      <name val="Arial"/>
      <b val="1"/>
      <color theme="4"/>
      <sz val="10"/>
    </font>
    <font>
      <name val="Arial"/>
      <b val="1"/>
      <color theme="1"/>
      <sz val="16"/>
    </font>
    <font>
      <name val="Arial"/>
      <b val="1"/>
      <color theme="1"/>
      <sz val="20"/>
    </font>
    <font>
      <name val="Arial"/>
      <b val="1"/>
      <color rgb="FFFFFFFF"/>
      <sz val="20"/>
    </font>
    <font>
      <name val="Calibri"/>
      <b val="1"/>
      <color theme="1"/>
      <sz val="14"/>
    </font>
    <font>
      <name val="Arial"/>
      <b val="1"/>
      <color theme="0"/>
      <sz val="14"/>
    </font>
    <font>
      <name val="Arial"/>
      <b val="1"/>
      <color rgb="FFFFFFFF"/>
      <sz val="14"/>
    </font>
    <font>
      <name val="Calibri"/>
      <b val="1"/>
      <color theme="1"/>
      <sz val="10"/>
    </font>
    <font>
      <name val="Calibri"/>
      <color theme="1"/>
      <sz val="14"/>
    </font>
    <font>
      <name val="Calibri"/>
      <b val="1"/>
      <color theme="1"/>
      <sz val="36"/>
    </font>
    <font>
      <name val="Calibri"/>
      <b val="1"/>
      <color theme="1"/>
      <sz val="12"/>
    </font>
    <font>
      <name val="Calibri"/>
      <color theme="1"/>
      <sz val="12"/>
    </font>
    <font>
      <name val="Arimo"/>
      <color theme="1"/>
      <sz val="12"/>
    </font>
    <font>
      <name val="Calibri"/>
      <color rgb="FF002060"/>
      <sz val="10"/>
    </font>
    <font>
      <name val="Calibri"/>
      <b val="1"/>
      <color rgb="FF000000"/>
      <sz val="12"/>
    </font>
    <font>
      <name val="Docs-Calibri"/>
      <b val="1"/>
      <color rgb="FF000000"/>
      <sz val="12"/>
    </font>
    <font>
      <name val="Calibri"/>
      <color theme="1"/>
      <scheme val="minor"/>
    </font>
    <font>
      <name val="Calibri"/>
      <b val="1"/>
      <color theme="1"/>
      <sz val="20"/>
    </font>
    <font>
      <name val="Calibri"/>
      <b val="1"/>
      <color theme="0"/>
      <sz val="20"/>
    </font>
    <font>
      <name val="Calibri"/>
      <b val="1"/>
      <color theme="1"/>
      <sz val="18"/>
    </font>
    <font>
      <name val="Calibri"/>
      <color rgb="FF000000"/>
      <sz val="12"/>
    </font>
    <font>
      <name val="Arial"/>
      <color theme="1"/>
      <sz val="12"/>
    </font>
    <font>
      <name val="Arial"/>
      <color theme="1"/>
      <sz val="18"/>
    </font>
    <font>
      <name val="Calibri"/>
      <color rgb="FF000000"/>
      <sz val="10"/>
    </font>
    <font>
      <b val="1"/>
      <color rgb="00FFFFFF"/>
    </font>
    <font>
      <b val="1"/>
      <sz val="14"/>
    </font>
    <font>
      <b val="1"/>
    </font>
  </fonts>
  <fills count="13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215940"/>
        <bgColor rgb="FF215940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D1DFAB"/>
        <bgColor rgb="FFD1DFAB"/>
      </patternFill>
    </fill>
    <fill>
      <patternFill patternType="solid">
        <fgColor rgb="FFFFFFFF"/>
        <bgColor rgb="FFFFFFFF"/>
      </patternFill>
    </fill>
    <fill>
      <patternFill patternType="solid">
        <fgColor rgb="FFF4CDA6"/>
        <bgColor rgb="FFF4CDA6"/>
      </patternFill>
    </fill>
    <fill>
      <patternFill patternType="solid">
        <fgColor rgb="FFB0D0E2"/>
        <bgColor rgb="FFB0D0E2"/>
      </patternFill>
    </fill>
    <fill>
      <patternFill patternType="solid">
        <fgColor rgb="FFA5A5A5"/>
        <bgColor rgb="FFA5A5A5"/>
      </patternFill>
    </fill>
    <fill>
      <patternFill patternType="solid">
        <fgColor rgb="FFD4E2CE"/>
        <bgColor rgb="FFD4E2CE"/>
      </patternFill>
    </fill>
    <fill>
      <patternFill patternType="solid">
        <fgColor rgb="001F4E79"/>
      </patternFill>
    </fill>
  </fills>
  <borders count="50">
    <border/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</border>
    <border>
      <left/>
      <right/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5" pivotButton="0" quotePrefix="0" xfId="0"/>
    <xf numFmtId="0" fontId="3" fillId="2" borderId="6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6" fillId="2" borderId="3" applyAlignment="1" pivotButton="0" quotePrefix="0" xfId="0">
      <alignment horizontal="center" vertical="center" wrapText="1"/>
    </xf>
    <xf numFmtId="0" fontId="3" fillId="2" borderId="6" applyAlignment="1" pivotButton="0" quotePrefix="0" xfId="0">
      <alignment vertical="center" wrapText="1"/>
    </xf>
    <xf numFmtId="0" fontId="7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6" fillId="2" borderId="9" applyAlignment="1" pivotButton="0" quotePrefix="0" xfId="0">
      <alignment horizontal="center" vertical="center" wrapText="1"/>
    </xf>
    <xf numFmtId="0" fontId="4" fillId="0" borderId="10" pivotButton="0" quotePrefix="0" xfId="0"/>
    <xf numFmtId="0" fontId="4" fillId="0" borderId="11" pivotButton="0" quotePrefix="0" xfId="0"/>
    <xf numFmtId="0" fontId="3" fillId="2" borderId="12" applyAlignment="1" pivotButton="0" quotePrefix="0" xfId="0">
      <alignment vertical="center" wrapText="1"/>
    </xf>
    <xf numFmtId="0" fontId="8" fillId="3" borderId="13" applyAlignment="1" pivotButton="0" quotePrefix="0" xfId="0">
      <alignment horizontal="center" vertical="center"/>
    </xf>
    <xf numFmtId="0" fontId="4" fillId="0" borderId="14" pivotButton="0" quotePrefix="0" xfId="0"/>
    <xf numFmtId="0" fontId="4" fillId="0" borderId="15" pivotButton="0" quotePrefix="0" xfId="0"/>
    <xf numFmtId="0" fontId="9" fillId="4" borderId="2" applyAlignment="1" pivotButton="0" quotePrefix="0" xfId="0">
      <alignment horizontal="center" vertical="center" wrapText="1"/>
    </xf>
    <xf numFmtId="0" fontId="10" fillId="3" borderId="16" applyAlignment="1" pivotButton="0" quotePrefix="0" xfId="0">
      <alignment horizontal="center" vertical="center" wrapText="1"/>
    </xf>
    <xf numFmtId="0" fontId="11" fillId="3" borderId="16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/>
    </xf>
    <xf numFmtId="0" fontId="9" fillId="0" borderId="0" pivotButton="0" quotePrefix="0" xfId="0"/>
    <xf numFmtId="0" fontId="13" fillId="4" borderId="2" applyAlignment="1" pivotButton="0" quotePrefix="0" xfId="0">
      <alignment horizontal="center" vertical="center" wrapText="1"/>
    </xf>
    <xf numFmtId="0" fontId="14" fillId="6" borderId="17" applyAlignment="1" pivotButton="0" quotePrefix="0" xfId="0">
      <alignment horizontal="center" vertical="center" textRotation="90"/>
    </xf>
    <xf numFmtId="0" fontId="15" fillId="4" borderId="18" applyAlignment="1" pivotButton="0" quotePrefix="0" xfId="0">
      <alignment horizontal="center" vertical="center" wrapText="1"/>
    </xf>
    <xf numFmtId="0" fontId="15" fillId="4" borderId="18" applyAlignment="1" pivotButton="0" quotePrefix="0" xfId="0">
      <alignment horizontal="center" vertical="center" wrapText="1"/>
    </xf>
    <xf numFmtId="0" fontId="16" fillId="4" borderId="18" applyAlignment="1" pivotButton="0" quotePrefix="0" xfId="0">
      <alignment horizontal="center" vertical="center" wrapText="1"/>
    </xf>
    <xf numFmtId="0" fontId="16" fillId="4" borderId="18" applyAlignment="1" pivotButton="0" quotePrefix="0" xfId="0">
      <alignment horizontal="center" vertical="center" wrapText="1"/>
    </xf>
    <xf numFmtId="0" fontId="17" fillId="4" borderId="18" applyAlignment="1" pivotButton="0" quotePrefix="0" xfId="0">
      <alignment horizontal="center" vertical="center" wrapText="1"/>
    </xf>
    <xf numFmtId="0" fontId="16" fillId="4" borderId="19" applyAlignment="1" pivotButton="0" quotePrefix="0" xfId="0">
      <alignment vertical="center" wrapText="1"/>
    </xf>
    <xf numFmtId="0" fontId="18" fillId="0" borderId="0" applyAlignment="1" pivotButton="0" quotePrefix="0" xfId="0">
      <alignment vertical="center"/>
    </xf>
    <xf numFmtId="0" fontId="18" fillId="4" borderId="2" applyAlignment="1" pivotButton="0" quotePrefix="0" xfId="0">
      <alignment vertical="center"/>
    </xf>
    <xf numFmtId="0" fontId="13" fillId="4" borderId="2" applyAlignment="1" pivotButton="0" quotePrefix="0" xfId="0">
      <alignment vertical="center"/>
    </xf>
    <xf numFmtId="0" fontId="4" fillId="0" borderId="20" pivotButton="0" quotePrefix="0" xfId="0"/>
    <xf numFmtId="0" fontId="15" fillId="4" borderId="21" applyAlignment="1" pivotButton="0" quotePrefix="0" xfId="0">
      <alignment horizontal="center" vertical="center" wrapText="1"/>
    </xf>
    <xf numFmtId="0" fontId="15" fillId="4" borderId="21" applyAlignment="1" pivotButton="0" quotePrefix="0" xfId="0">
      <alignment horizontal="center" vertical="center" wrapText="1"/>
    </xf>
    <xf numFmtId="0" fontId="16" fillId="4" borderId="21" applyAlignment="1" pivotButton="0" quotePrefix="0" xfId="0">
      <alignment horizontal="center" vertical="center" wrapText="1"/>
    </xf>
    <xf numFmtId="0" fontId="16" fillId="4" borderId="22" applyAlignment="1" pivotButton="0" quotePrefix="0" xfId="0">
      <alignment vertical="center" wrapText="1"/>
    </xf>
    <xf numFmtId="2" fontId="13" fillId="4" borderId="2" applyAlignment="1" pivotButton="0" quotePrefix="0" xfId="0">
      <alignment vertical="center"/>
    </xf>
    <xf numFmtId="0" fontId="19" fillId="7" borderId="0" applyAlignment="1" pivotButton="0" quotePrefix="0" xfId="0">
      <alignment horizontal="center" wrapText="1"/>
    </xf>
    <xf numFmtId="0" fontId="15" fillId="7" borderId="21" applyAlignment="1" pivotButton="0" quotePrefix="0" xfId="0">
      <alignment horizontal="center" vertical="center" wrapText="1"/>
    </xf>
    <xf numFmtId="0" fontId="15" fillId="4" borderId="16" applyAlignment="1" pivotButton="0" quotePrefix="0" xfId="0">
      <alignment horizontal="center" vertical="center" wrapText="1"/>
    </xf>
    <xf numFmtId="0" fontId="16" fillId="4" borderId="16" applyAlignment="1" pivotButton="0" quotePrefix="0" xfId="0">
      <alignment horizontal="center" vertical="center" wrapText="1"/>
    </xf>
    <xf numFmtId="0" fontId="16" fillId="4" borderId="23" applyAlignment="1" pivotButton="0" quotePrefix="0" xfId="0">
      <alignment vertical="center" wrapText="1"/>
    </xf>
    <xf numFmtId="0" fontId="15" fillId="7" borderId="16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/>
    </xf>
    <xf numFmtId="0" fontId="4" fillId="0" borderId="24" pivotButton="0" quotePrefix="0" xfId="0"/>
    <xf numFmtId="0" fontId="15" fillId="7" borderId="16" applyAlignment="1" pivotButton="0" quotePrefix="0" xfId="0">
      <alignment horizontal="center" vertical="center" wrapText="1"/>
    </xf>
    <xf numFmtId="0" fontId="14" fillId="8" borderId="17" applyAlignment="1" pivotButton="0" quotePrefix="0" xfId="0">
      <alignment horizontal="center" vertical="center" textRotation="90"/>
    </xf>
    <xf numFmtId="0" fontId="15" fillId="7" borderId="18" applyAlignment="1" pivotButton="0" quotePrefix="0" xfId="0">
      <alignment horizontal="center" vertical="center" wrapText="1"/>
    </xf>
    <xf numFmtId="0" fontId="15" fillId="4" borderId="25" applyAlignment="1" pivotButton="0" quotePrefix="0" xfId="0">
      <alignment horizontal="center" vertical="center" wrapText="1"/>
    </xf>
    <xf numFmtId="0" fontId="16" fillId="4" borderId="25" applyAlignment="1" pivotButton="0" quotePrefix="0" xfId="0">
      <alignment horizontal="center" vertical="center" wrapText="1"/>
    </xf>
    <xf numFmtId="0" fontId="16" fillId="4" borderId="26" applyAlignment="1" pivotButton="0" quotePrefix="0" xfId="0">
      <alignment vertical="center" wrapText="1"/>
    </xf>
    <xf numFmtId="14" fontId="16" fillId="4" borderId="22" applyAlignment="1" pivotButton="0" quotePrefix="0" xfId="0">
      <alignment horizontal="center" vertical="center" wrapText="1"/>
    </xf>
    <xf numFmtId="0" fontId="15" fillId="4" borderId="27" applyAlignment="1" pivotButton="0" quotePrefix="0" xfId="0">
      <alignment horizontal="center" vertical="center" wrapText="1"/>
    </xf>
    <xf numFmtId="0" fontId="15" fillId="7" borderId="27" applyAlignment="1" pivotButton="0" quotePrefix="0" xfId="0">
      <alignment horizontal="center" vertical="center" wrapText="1"/>
    </xf>
    <xf numFmtId="0" fontId="16" fillId="4" borderId="27" applyAlignment="1" pivotButton="0" quotePrefix="0" xfId="0">
      <alignment horizontal="center" vertical="center" wrapText="1"/>
    </xf>
    <xf numFmtId="0" fontId="16" fillId="4" borderId="28" applyAlignment="1" pivotButton="0" quotePrefix="0" xfId="0">
      <alignment horizontal="center" vertical="center" wrapText="1"/>
    </xf>
    <xf numFmtId="0" fontId="17" fillId="4" borderId="28" applyAlignment="1" pivotButton="0" quotePrefix="0" xfId="0">
      <alignment horizontal="center" vertical="center" wrapText="1"/>
    </xf>
    <xf numFmtId="14" fontId="16" fillId="4" borderId="29" applyAlignment="1" pivotButton="0" quotePrefix="0" xfId="0">
      <alignment horizontal="center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5" pivotButton="0" quotePrefix="0" xfId="0"/>
    <xf numFmtId="0" fontId="4" fillId="0" borderId="26" pivotButton="0" quotePrefix="0" xfId="0"/>
    <xf numFmtId="0" fontId="15" fillId="7" borderId="21" applyAlignment="1" pivotButton="0" quotePrefix="0" xfId="0">
      <alignment horizontal="center" vertical="center" wrapText="1"/>
    </xf>
    <xf numFmtId="0" fontId="14" fillId="9" borderId="17" applyAlignment="1" pivotButton="0" quotePrefix="0" xfId="0">
      <alignment horizontal="center" vertical="center" textRotation="90"/>
    </xf>
    <xf numFmtId="0" fontId="15" fillId="7" borderId="25" applyAlignment="1" pivotButton="0" quotePrefix="0" xfId="0">
      <alignment horizontal="center" vertical="center" wrapText="1"/>
    </xf>
    <xf numFmtId="0" fontId="15" fillId="7" borderId="27" applyAlignment="1" pivotButton="0" quotePrefix="0" xfId="0">
      <alignment horizontal="center" vertical="center" wrapText="1"/>
    </xf>
    <xf numFmtId="0" fontId="16" fillId="4" borderId="29" applyAlignment="1" pivotButton="0" quotePrefix="0" xfId="0">
      <alignment vertical="center" wrapText="1"/>
    </xf>
    <xf numFmtId="0" fontId="20" fillId="7" borderId="0" applyAlignment="1" pivotButton="0" quotePrefix="0" xfId="0">
      <alignment horizontal="center" wrapText="1"/>
    </xf>
    <xf numFmtId="0" fontId="16" fillId="4" borderId="27" applyAlignment="1" pivotButton="0" quotePrefix="0" xfId="0">
      <alignment horizontal="center" vertical="center" wrapText="1"/>
    </xf>
    <xf numFmtId="0" fontId="4" fillId="0" borderId="32" pivotButton="0" quotePrefix="0" xfId="0"/>
    <xf numFmtId="0" fontId="15" fillId="4" borderId="33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center" vertical="center" wrapText="1"/>
    </xf>
    <xf numFmtId="0" fontId="16" fillId="4" borderId="33" applyAlignment="1" pivotButton="0" quotePrefix="0" xfId="0">
      <alignment horizontal="center" vertical="center" wrapText="1"/>
    </xf>
    <xf numFmtId="0" fontId="16" fillId="4" borderId="34" applyAlignment="1" pivotButton="0" quotePrefix="0" xfId="0">
      <alignment vertical="center" wrapText="1"/>
    </xf>
    <xf numFmtId="0" fontId="1" fillId="0" borderId="0" pivotButton="0" quotePrefix="0" xfId="0"/>
    <xf numFmtId="0" fontId="1" fillId="3" borderId="35" applyAlignment="1" pivotButton="0" quotePrefix="0" xfId="0">
      <alignment horizontal="center"/>
    </xf>
    <xf numFmtId="0" fontId="4" fillId="0" borderId="36" pivotButton="0" quotePrefix="0" xfId="0"/>
    <xf numFmtId="0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wrapText="1"/>
    </xf>
    <xf numFmtId="0" fontId="21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wrapText="1"/>
    </xf>
    <xf numFmtId="0" fontId="22" fillId="0" borderId="0" applyAlignment="1" pivotButton="0" quotePrefix="0" xfId="0">
      <alignment horizontal="center" vertical="center" wrapText="1"/>
    </xf>
    <xf numFmtId="0" fontId="22" fillId="0" borderId="37" applyAlignment="1" pivotButton="0" quotePrefix="0" xfId="0">
      <alignment horizontal="center"/>
    </xf>
    <xf numFmtId="0" fontId="4" fillId="0" borderId="37" pivotButton="0" quotePrefix="0" xfId="0"/>
    <xf numFmtId="0" fontId="23" fillId="3" borderId="13" applyAlignment="1" pivotButton="0" quotePrefix="0" xfId="0">
      <alignment horizontal="center"/>
    </xf>
    <xf numFmtId="0" fontId="24" fillId="10" borderId="21" applyAlignment="1" pivotButton="0" quotePrefix="0" xfId="0">
      <alignment horizontal="center" vertical="center" wrapText="1" readingOrder="1"/>
    </xf>
    <xf numFmtId="0" fontId="25" fillId="11" borderId="21" applyAlignment="1" pivotButton="0" quotePrefix="0" xfId="0">
      <alignment horizontal="left" vertical="center" wrapText="1" readingOrder="1"/>
    </xf>
    <xf numFmtId="0" fontId="25" fillId="11" borderId="27" applyAlignment="1" pivotButton="0" quotePrefix="0" xfId="0">
      <alignment horizontal="left" vertical="center" wrapText="1" readingOrder="1"/>
    </xf>
    <xf numFmtId="0" fontId="25" fillId="11" borderId="16" applyAlignment="1" pivotButton="0" quotePrefix="0" xfId="0">
      <alignment horizontal="left" vertical="center" wrapText="1" readingOrder="1"/>
    </xf>
    <xf numFmtId="0" fontId="16" fillId="11" borderId="16" applyAlignment="1" pivotButton="0" quotePrefix="0" xfId="0">
      <alignment vertical="top" wrapText="1"/>
    </xf>
    <xf numFmtId="0" fontId="26" fillId="11" borderId="16" applyAlignment="1" pivotButton="0" quotePrefix="0" xfId="0">
      <alignment vertical="top" wrapText="1"/>
    </xf>
    <xf numFmtId="0" fontId="4" fillId="0" borderId="38" pivotButton="0" quotePrefix="0" xfId="0"/>
    <xf numFmtId="0" fontId="26" fillId="11" borderId="21" applyAlignment="1" pivotButton="0" quotePrefix="0" xfId="0">
      <alignment vertical="top" wrapText="1"/>
    </xf>
    <xf numFmtId="0" fontId="27" fillId="11" borderId="21" applyAlignment="1" pivotButton="0" quotePrefix="0" xfId="0">
      <alignment vertical="top" wrapText="1"/>
    </xf>
    <xf numFmtId="0" fontId="28" fillId="11" borderId="21" applyAlignment="1" pivotButton="0" quotePrefix="0" xfId="0">
      <alignment horizontal="left" vertical="center" wrapText="1" readingOrder="1"/>
    </xf>
    <xf numFmtId="0" fontId="0" fillId="0" borderId="0" pivotButton="0" quotePrefix="0" xfId="0"/>
    <xf numFmtId="0" fontId="3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9" applyAlignment="1" pivotButton="0" quotePrefix="0" xfId="0">
      <alignment horizontal="center" vertical="center" wrapText="1"/>
    </xf>
    <xf numFmtId="0" fontId="0" fillId="0" borderId="37" pivotButton="0" quotePrefix="0" xfId="0"/>
    <xf numFmtId="0" fontId="8" fillId="3" borderId="40" applyAlignment="1" pivotButton="0" quotePrefix="0" xfId="0">
      <alignment horizontal="center" vertical="center"/>
    </xf>
    <xf numFmtId="0" fontId="0" fillId="0" borderId="14" pivotButton="0" quotePrefix="0" xfId="0"/>
    <xf numFmtId="0" fontId="14" fillId="6" borderId="42" applyAlignment="1" pivotButton="0" quotePrefix="0" xfId="0">
      <alignment horizontal="center" vertical="center" textRotation="90"/>
    </xf>
    <xf numFmtId="0" fontId="0" fillId="0" borderId="20" pivotButton="0" quotePrefix="0" xfId="0"/>
    <xf numFmtId="0" fontId="14" fillId="8" borderId="42" applyAlignment="1" pivotButton="0" quotePrefix="0" xfId="0">
      <alignment horizontal="center" vertical="center" textRotation="90"/>
    </xf>
    <xf numFmtId="0" fontId="0" fillId="0" borderId="30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14" fillId="9" borderId="45" applyAlignment="1" pivotButton="0" quotePrefix="0" xfId="0">
      <alignment horizontal="center" vertical="center" textRotation="90"/>
    </xf>
    <xf numFmtId="0" fontId="0" fillId="0" borderId="32" pivotButton="0" quotePrefix="0" xfId="0"/>
    <xf numFmtId="0" fontId="1" fillId="3" borderId="46" applyAlignment="1" pivotButton="0" quotePrefix="0" xfId="0">
      <alignment horizontal="center"/>
    </xf>
    <xf numFmtId="0" fontId="0" fillId="0" borderId="48" pivotButton="0" quotePrefix="0" xfId="0"/>
    <xf numFmtId="0" fontId="23" fillId="3" borderId="40" applyAlignment="1" pivotButton="0" quotePrefix="0" xfId="0">
      <alignment horizontal="center"/>
    </xf>
    <xf numFmtId="0" fontId="29" fillId="12" borderId="49" applyAlignment="1" pivotButton="0" quotePrefix="0" xfId="0">
      <alignment horizontal="center" vertical="center" wrapText="1"/>
    </xf>
    <xf numFmtId="0" fontId="0" fillId="0" borderId="49" applyAlignment="1" pivotButton="0" quotePrefix="0" xfId="0">
      <alignment vertical="top" wrapText="1"/>
    </xf>
    <xf numFmtId="9" fontId="0" fillId="0" borderId="49" applyAlignment="1" pivotButton="0" quotePrefix="0" xfId="0">
      <alignment vertical="top" wrapText="1"/>
    </xf>
    <xf numFmtId="0" fontId="31" fillId="0" borderId="0" pivotButton="0" quotePrefix="0" xfId="0"/>
    <xf numFmtId="0" fontId="0" fillId="0" borderId="49" pivotButton="0" quotePrefix="0" xfId="0"/>
  </cellXfs>
  <cellStyles count="1">
    <cellStyle name="Normal" xfId="0" builtinId="0"/>
  </cellStyles>
  <dxfs count="4">
    <dxf>
      <font>
        <color rgb="FFFFFF00"/>
      </font>
      <fill>
        <patternFill/>
      </fill>
      <border/>
    </dxf>
    <dxf>
      <font>
        <color rgb="FF0070C0"/>
      </font>
      <fill>
        <patternFill/>
      </fill>
      <border/>
    </dxf>
    <dxf>
      <font>
        <color rgb="FFFF0000"/>
      </font>
      <fill>
        <patternFill/>
      </fill>
      <border/>
    </dxf>
    <dxf>
      <font>
        <color rgb="FF00B05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314325</colOff>
      <row>0</row>
      <rowOff>171450</rowOff>
    </from>
    <ext cx="2381250" cy="1162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</row>
      <rowOff>314325</rowOff>
    </from>
    <ext cx="15592425" cy="169545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blOKRs" displayName="tblOKRs" ref="A1:C6" headerRowCount="1">
  <autoFilter ref="A1:C6"/>
  <tableColumns count="3">
    <tableColumn id="1" name="OKR_ID"/>
    <tableColumn id="2" name="Eixo_CAPES"/>
    <tableColumn id="3" name="Objetivo_OKR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Rs" displayName="tblKRs" ref="A1:F18" headerRowCount="1">
  <autoFilter ref="A1:F18"/>
  <tableColumns count="6">
    <tableColumn id="1" name="KR_ID"/>
    <tableColumn id="2" name="OKR_ID"/>
    <tableColumn id="3" name="Resultado-chave"/>
    <tableColumn id="4" name="Meta_2028"/>
    <tableColumn id="5" name="Frequência"/>
    <tableColumn id="6" name="Font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PIs" displayName="tblKPIs" ref="A1:H23" headerRowCount="1">
  <autoFilter ref="A1:H23"/>
  <tableColumns count="8">
    <tableColumn id="1" name="KPI_ID"/>
    <tableColumn id="2" name="OKR_ID"/>
    <tableColumn id="3" name="KR_ID"/>
    <tableColumn id="4" name="KPI"/>
    <tableColumn id="5" name="Definição"/>
    <tableColumn id="6" name="Unidade"/>
    <tableColumn id="7" name="Frequência"/>
    <tableColumn id="8" name="Font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KRKPI" displayName="tblOKRKPI" ref="A1:C23" headerRowCount="1">
  <autoFilter ref="A1:C23"/>
  <tableColumns count="3">
    <tableColumn id="1" name="OKR_ID"/>
    <tableColumn id="2" name="KR_ID"/>
    <tableColumn id="3" name="KPI_ID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AcoesOKR" displayName="tblAcoesOKR" ref="A1:N80" headerRowCount="1">
  <autoFilter ref="A1:N80"/>
  <tableColumns count="14">
    <tableColumn id="1" name="ID"/>
    <tableColumn id="2" name="EIXO"/>
    <tableColumn id="3" name="O QUÊ?"/>
    <tableColumn id="4" name="POR QUE?"/>
    <tableColumn id="5" name="QUEM?"/>
    <tableColumn id="6" name="ONDE?"/>
    <tableColumn id="7" name="QUANDO?"/>
    <tableColumn id="8" name="COMO?"/>
    <tableColumn id="9" name="QUANTO?"/>
    <tableColumn id="10" name="STATUS"/>
    <tableColumn id="11" name="OBSERVAÇÕES"/>
    <tableColumn id="12" name="OKR_ID_SUGERIDA"/>
    <tableColumn id="13" name="OKR_ID_FINAL"/>
    <tableColumn id="14" name="OKR_OBJETIVO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KPITrack" displayName="tblKPITrack" ref="A1:L23" headerRowCount="1">
  <autoFilter ref="A1:L23"/>
  <tableColumns count="12">
    <tableColumn id="1" name="KPI_ID"/>
    <tableColumn id="2" name="OKR_ID"/>
    <tableColumn id="3" name="KR_ID"/>
    <tableColumn id="4" name="KPI"/>
    <tableColumn id="5" name="Unidade"/>
    <tableColumn id="6" name="Frequência"/>
    <tableColumn id="7" name="Fonte"/>
    <tableColumn id="8" name="Baseline"/>
    <tableColumn id="9" name="Meta"/>
    <tableColumn id="10" name="Atual"/>
    <tableColumn id="11" name="%Progresso"/>
    <tableColumn id="12" name="Status_RAG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AcoesKR" displayName="tblAcoesKR" ref="A1:S80" headerRowCount="1">
  <autoFilter ref="A1:S80"/>
  <tableColumns count="19">
    <tableColumn id="1" name="ID"/>
    <tableColumn id="2" name="EIXO"/>
    <tableColumn id="3" name="O QUÊ?"/>
    <tableColumn id="4" name="POR QUE?"/>
    <tableColumn id="5" name="QUEM?"/>
    <tableColumn id="6" name="ONDE?"/>
    <tableColumn id="7" name="QUANDO?"/>
    <tableColumn id="8" name="COMO?"/>
    <tableColumn id="9" name="QUANTO?"/>
    <tableColumn id="10" name="STATUS"/>
    <tableColumn id="11" name="OBSERVAÇÕES"/>
    <tableColumn id="12" name="OKR_ID_SUGERIDA"/>
    <tableColumn id="13" name="OKR_ID_FINAL"/>
    <tableColumn id="14" name="OKR_USED"/>
    <tableColumn id="15" name="KR_ID_SUGERIDA"/>
    <tableColumn id="16" name="KR_ID_FINAL"/>
    <tableColumn id="17" name="KR_RESULTADO_CHAVE"/>
    <tableColumn id="18" name="KR_META_2028"/>
    <tableColumn id="19" name="KR_FREQUENCIA"/>
  </tableColumns>
  <tableStyleInfo name="TableStyleMedium9" showRowStripes="1"/>
</table>
</file>

<file path=xl/tables/table8.xml><?xml version="1.0" encoding="utf-8"?>
<table xmlns="http://schemas.openxmlformats.org/spreadsheetml/2006/main" id="8" name="tblAcaoKRMap" displayName="tblAcaoKRMap" ref="A1:C80" headerRowCount="1">
  <autoFilter ref="A1:C80"/>
  <tableColumns count="3">
    <tableColumn id="1" name="ID"/>
    <tableColumn id="2" name="OKR_ID"/>
    <tableColumn id="3" name="KR_ID"/>
  </tableColumns>
  <tableStyleInfo name="TableStyleMedium9" showRowStripes="1"/>
</table>
</file>

<file path=xl/tables/table9.xml><?xml version="1.0" encoding="utf-8"?>
<table xmlns="http://schemas.openxmlformats.org/spreadsheetml/2006/main" id="9" name="tblAcaoKPIMap" displayName="tblAcaoKPIMap" ref="A1:C114" headerRowCount="1">
  <autoFilter ref="A1:C114"/>
  <tableColumns count="3">
    <tableColumn id="1" name="ID"/>
    <tableColumn id="2" name="KR_ID"/>
    <tableColumn id="3" name="KPI_ID"/>
  </tableColumns>
  <tableStyleInfo name="TableStyleMedium9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87A33D"/>
      </a:accent2>
      <a:accent3>
        <a:srgbClr val="C34141"/>
      </a:accent3>
      <a:accent4>
        <a:srgbClr val="E68422"/>
      </a:accent4>
      <a:accent5>
        <a:srgbClr val="7F7F7F"/>
      </a:accent5>
      <a:accent6>
        <a:srgbClr val="925DB3"/>
      </a:accent6>
      <a:hlink>
        <a:srgbClr val="7F7F7F"/>
      </a:hlink>
      <a:folHlink>
        <a:srgbClr val="7F7F7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style="108" min="1" max="1"/>
  </cols>
  <sheetData>
    <row r="1">
      <c r="A1" s="109" t="inlineStr">
        <is>
          <t>Como usar esta planilha (OKRs + KPIs + Dashboard)</t>
        </is>
      </c>
    </row>
    <row r="3">
      <c r="A3" s="110" t="inlineStr">
        <is>
          <t>1) Ações_OKR: cada ação do Plano de Ação foi associada a uma OKR sugerida. Use a coluna OKR_ID_FINAL para ajustar manualmente.</t>
        </is>
      </c>
    </row>
    <row r="4">
      <c r="A4" s="110" t="inlineStr">
        <is>
          <t>2) OKRs/KRs/KPIs: descrevem objetivos, resultados-chave e indicadores. A aba OKR_KPI mostra o vínculo KR→KPI.</t>
        </is>
      </c>
    </row>
    <row r="5">
      <c r="A5" s="110" t="inlineStr">
        <is>
          <t>3) KPI_Tracking: preencha Baseline, Meta e Atual. O %Progresso e o Status_RAG são calculados automaticamente.</t>
        </is>
      </c>
    </row>
    <row r="6">
      <c r="A6" s="110" t="inlineStr">
        <is>
          <t>4) Dashboard: acompanha distribuição de ações por OKR e Status.</t>
        </is>
      </c>
    </row>
    <row r="7">
      <c r="A7" s="110" t="n"/>
    </row>
    <row r="8">
      <c r="A8" s="110" t="inlineStr">
        <is>
          <t>NOVO: Aba Ações_KR associa cada ação a um KR (sugestão automática + ajuste manual em KR_ID_FINAL).</t>
        </is>
      </c>
    </row>
    <row r="9">
      <c r="A9" s="110" t="inlineStr">
        <is>
          <t>NOVO: Abas AÇÃO_KR_MAP e AÇÃO_KPI_MAP suportam o painel (Streamlit) com filtros cruzados.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3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08" min="1" max="1"/>
    <col width="13.71" customWidth="1" style="108" min="2" max="2"/>
    <col width="13.29" customWidth="1" style="108" min="3" max="3"/>
    <col width="46.71" customWidth="1" style="108" min="4" max="4"/>
    <col width="27.43" customWidth="1" style="108" min="5" max="5"/>
    <col width="29.57" customWidth="1" style="108" min="6" max="6"/>
    <col width="28.71" customWidth="1" style="108" min="7" max="7"/>
    <col width="24.14" customWidth="1" style="108" min="8" max="8"/>
    <col width="25" customWidth="1" style="108" min="9" max="9"/>
    <col width="23" customWidth="1" style="108" min="10" max="10"/>
    <col width="24.14" customWidth="1" style="108" min="11" max="11"/>
    <col width="26.43" customWidth="1" style="108" min="12" max="12"/>
    <col hidden="1" width="2" customWidth="1" style="108" min="13" max="13"/>
    <col hidden="1" width="6" customWidth="1" style="108" min="14" max="14"/>
    <col width="9.289999999999999" customWidth="1" style="108" min="15" max="15"/>
    <col width="14.71" customWidth="1" style="108" min="16" max="16"/>
    <col width="9.289999999999999" customWidth="1" style="108" min="17" max="22"/>
  </cols>
  <sheetData>
    <row r="1" ht="175.5" customHeight="1" s="108">
      <c r="A1" s="1" t="n"/>
      <c r="B1" s="2" t="n"/>
      <c r="C1" s="3" t="n"/>
      <c r="D1" s="111" t="inlineStr">
        <is>
          <t>UNIVERSIDADE FEDERAL FLUMINENSE                                                                                              ESCOLA DE ENFERMAGEM AURORA DE AFONSO COSTA                                                                        
MESTRADO PROFISSIONAL EM ENFERMAGEM ASSISTENCIAL - MPEA
                                                                                                                                                      PLANEJAMENTO ESTRATÉGICO MPEA 2024-2028</t>
        </is>
      </c>
      <c r="K1" s="3" t="n"/>
      <c r="L1" s="7" t="n"/>
      <c r="M1" s="8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75" customHeight="1" s="108">
      <c r="A2" s="1" t="n"/>
      <c r="B2" s="9" t="n"/>
      <c r="C2" s="10" t="n"/>
      <c r="D2" s="112" t="inlineStr">
        <is>
          <t xml:space="preserve"> Missão                                                                                                                                                                                                                                   Formar enfermeiros para qualificar a prática profissional, promovendo desenvolvimento tecnológico e inovação.</t>
        </is>
      </c>
      <c r="K2" s="10" t="n"/>
      <c r="L2" s="12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60.75" customHeight="1" s="108">
      <c r="A3" s="1" t="n"/>
      <c r="B3" s="13" t="n"/>
      <c r="C3" s="14" t="n"/>
      <c r="D3" s="112" t="inlineStr">
        <is>
          <t xml:space="preserve">       Visão                                                                                                                                                                                                                                       Ser referência nacional e internacional no desenvolvimento, transferência e implementação de tecnologias gerenciais e assistenciais inovadoras  </t>
        </is>
      </c>
      <c r="K3" s="14" t="n"/>
      <c r="L3" s="1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159" customHeight="1" s="108">
      <c r="A4" s="1" t="n"/>
      <c r="B4" s="17" t="n"/>
      <c r="C4" s="18" t="n"/>
      <c r="D4" s="113" t="inlineStr">
        <is>
          <t>Valores                                                                                                                                                                                                                                                      Compromisso social                                                                                                                                                                                                                                 Desenvolvimento profissional                                                                                                                                                                                                                          Formação de Líderes
Enfermagem de excelência                                                                                                                                                                                                                                  Ênfase em inovação e tecnologia</t>
        </is>
      </c>
      <c r="E4" s="114" t="n"/>
      <c r="F4" s="114" t="n"/>
      <c r="G4" s="114" t="n"/>
      <c r="H4" s="114" t="n"/>
      <c r="I4" s="114" t="n"/>
      <c r="J4" s="114" t="n"/>
      <c r="K4" s="18" t="n"/>
      <c r="L4" s="2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42" customHeight="1" s="108">
      <c r="A5" s="1" t="n"/>
      <c r="B5" s="115" t="inlineStr">
        <is>
          <t>PLANO DE AÇÃO</t>
        </is>
      </c>
      <c r="C5" s="116" t="n"/>
      <c r="D5" s="116" t="n"/>
      <c r="E5" s="116" t="n"/>
      <c r="F5" s="116" t="n"/>
      <c r="G5" s="116" t="n"/>
      <c r="H5" s="116" t="n"/>
      <c r="I5" s="116" t="n"/>
      <c r="J5" s="116" t="n"/>
      <c r="K5" s="116" t="n"/>
      <c r="L5" s="116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50.25" customHeight="1" s="108">
      <c r="A6" s="26" t="n"/>
      <c r="B6" s="27" t="n"/>
      <c r="C6" s="27" t="inlineStr">
        <is>
          <t>ID</t>
        </is>
      </c>
      <c r="D6" s="28" t="inlineStr">
        <is>
          <t>O QUÊ?</t>
        </is>
      </c>
      <c r="E6" s="28" t="inlineStr">
        <is>
          <t>POR QUE?</t>
        </is>
      </c>
      <c r="F6" s="28" t="inlineStr">
        <is>
          <t>QUEM?</t>
        </is>
      </c>
      <c r="G6" s="28" t="inlineStr">
        <is>
          <t>ONDE?</t>
        </is>
      </c>
      <c r="H6" s="28" t="inlineStr">
        <is>
          <t>QUANDO?</t>
        </is>
      </c>
      <c r="I6" s="28" t="inlineStr">
        <is>
          <t>COMO?</t>
        </is>
      </c>
      <c r="J6" s="28" t="inlineStr">
        <is>
          <t>QUANTO?</t>
        </is>
      </c>
      <c r="K6" s="29" t="inlineStr">
        <is>
          <t>STATUS</t>
        </is>
      </c>
      <c r="L6" s="27" t="inlineStr">
        <is>
          <t>OBSERVAÇÕES</t>
        </is>
      </c>
      <c r="M6" s="30" t="inlineStr">
        <is>
          <t>A</t>
        </is>
      </c>
      <c r="N6" s="30" t="inlineStr">
        <is>
          <t>M</t>
        </is>
      </c>
      <c r="O6" s="31" t="n"/>
      <c r="P6" s="31" t="n"/>
      <c r="Q6" s="31" t="n"/>
      <c r="R6" s="31" t="n"/>
      <c r="S6" s="31" t="n"/>
      <c r="T6" s="31" t="n"/>
      <c r="U6" s="31" t="n"/>
      <c r="V6" s="31" t="n"/>
    </row>
    <row r="7" ht="72.75" customHeight="1" s="108">
      <c r="A7" s="32" t="n"/>
      <c r="B7" s="117" t="inlineStr">
        <is>
          <t>E I X O     P R O G R A M A</t>
        </is>
      </c>
      <c r="C7" s="35" t="n">
        <v>1</v>
      </c>
      <c r="D7" s="35" t="inlineStr">
        <is>
          <t>Revisão e atualização do Manual do Aluno</t>
        </is>
      </c>
      <c r="E7" s="37" t="inlineStr">
        <is>
          <t>Uniformizar trabalhos, melhorar a qualidade e garantir alinhamento com os objetivos do programa</t>
        </is>
      </c>
      <c r="F7" s="37" t="inlineStr">
        <is>
          <t>Comissão de Acompanhamento Discente</t>
        </is>
      </c>
      <c r="G7" s="37" t="n"/>
      <c r="H7" s="37" t="n"/>
      <c r="I7" s="37" t="n"/>
      <c r="J7" s="37" t="n"/>
      <c r="K7" s="38" t="inlineStr">
        <is>
          <t>EM ANDAMENTO</t>
        </is>
      </c>
      <c r="L7" s="39" t="n"/>
      <c r="M7" s="40">
        <f>IF(#REF!="",0,IF(#REF!&gt;1,1,IF(IF(#REF!="",#REF!,#REF!)&lt;TODAY(),2,IF(#REF!&gt;1,3,4))))</f>
        <v/>
      </c>
      <c r="N7" s="41">
        <f>IF(#REF!="",0,MONTH(#REF!))</f>
        <v/>
      </c>
      <c r="O7" s="42" t="n"/>
      <c r="P7" s="42" t="n"/>
      <c r="Q7" s="42" t="n"/>
      <c r="R7" s="42" t="n"/>
      <c r="S7" s="42" t="n"/>
      <c r="T7" s="42" t="n"/>
      <c r="U7" s="42" t="n"/>
      <c r="V7" s="42" t="n"/>
    </row>
    <row r="8" ht="105" customHeight="1" s="108">
      <c r="A8" s="32" t="n"/>
      <c r="B8" s="118" t="n"/>
      <c r="C8" s="45" t="n">
        <v>2</v>
      </c>
      <c r="D8" s="45" t="inlineStr">
        <is>
          <t xml:space="preserve">Listar as expertises de cada Laboratório vinculado ao Programa e o suporte que pode ser ofertado  </t>
        </is>
      </c>
      <c r="E8" s="46" t="inlineStr">
        <is>
          <t>Dar visibilidade à infraestrutura oferecida pelo programa e disponibilizar seu uso para os projetos, alunos e docentes do programa</t>
        </is>
      </c>
      <c r="F8" s="37" t="inlineStr">
        <is>
          <t>Comissão de Credenciamento e Acompanhamento Docente</t>
        </is>
      </c>
      <c r="G8" s="46" t="n"/>
      <c r="H8" s="46" t="n"/>
      <c r="I8" s="46" t="n"/>
      <c r="J8" s="46" t="n"/>
      <c r="K8" s="38" t="inlineStr">
        <is>
          <t>EM ANDAMENTO</t>
        </is>
      </c>
      <c r="L8" s="47" t="n"/>
      <c r="M8" s="40">
        <f>IF(#REF!="",0,IF(#REF!&gt;1,1,IF(IF(#REF!="",#REF!,#REF!)&lt;TODAY(),2,IF(#REF!&gt;1,3,4))))</f>
        <v/>
      </c>
      <c r="N8" s="41">
        <f>IF(#REF!="",0,MONTH(#REF!))</f>
        <v/>
      </c>
      <c r="O8" s="42" t="n"/>
      <c r="P8" s="48" t="n"/>
      <c r="Q8" s="42" t="n"/>
      <c r="R8" s="42" t="n"/>
      <c r="S8" s="42" t="n"/>
      <c r="T8" s="42" t="n"/>
      <c r="U8" s="42" t="n"/>
      <c r="V8" s="42" t="n"/>
    </row>
    <row r="9" ht="69" customHeight="1" s="108">
      <c r="A9" s="32" t="n"/>
      <c r="B9" s="118" t="n"/>
      <c r="C9" s="45" t="n">
        <v>3</v>
      </c>
      <c r="D9" s="45" t="inlineStr">
        <is>
          <t>Identificar e divulgar editais de fomento à infraestrutura</t>
        </is>
      </c>
      <c r="E9" s="46" t="inlineStr">
        <is>
          <t>Assegurar infraestrutura adequada para realização das atividades</t>
        </is>
      </c>
      <c r="F9" s="37" t="inlineStr">
        <is>
          <t>Coordenação MPEA</t>
        </is>
      </c>
      <c r="G9" s="46" t="n"/>
      <c r="H9" s="46" t="n"/>
      <c r="I9" s="46" t="n"/>
      <c r="J9" s="46" t="n"/>
      <c r="K9" s="38" t="inlineStr">
        <is>
          <t>EM ANDAMENTO</t>
        </is>
      </c>
      <c r="L9" s="47" t="n"/>
      <c r="M9" s="40">
        <f>IF(#REF!="",0,IF(#REF!&gt;1,1,IF(IF(#REF!="",#REF!,#REF!)&lt;TODAY(),2,IF(#REF!&gt;1,3,4))))</f>
        <v/>
      </c>
      <c r="N9" s="41">
        <f>IF(#REF!="",0,MONTH(#REF!))</f>
        <v/>
      </c>
      <c r="O9" s="42" t="n"/>
      <c r="P9" s="42" t="n"/>
      <c r="Q9" s="42" t="n"/>
      <c r="R9" s="42" t="n"/>
      <c r="S9" s="42" t="n"/>
      <c r="T9" s="42" t="n"/>
      <c r="U9" s="42" t="n"/>
      <c r="V9" s="42" t="n"/>
    </row>
    <row r="10" ht="45" customHeight="1" s="108">
      <c r="A10" s="32" t="n"/>
      <c r="B10" s="118" t="n"/>
      <c r="C10" s="45" t="n">
        <v>4</v>
      </c>
      <c r="D10" s="49" t="inlineStr">
        <is>
          <t>Submeter projetos para editais de infraestrutura</t>
        </is>
      </c>
      <c r="E10" s="46" t="n"/>
      <c r="F10" s="37" t="inlineStr">
        <is>
          <t>Coordenação MPEA</t>
        </is>
      </c>
      <c r="G10" s="46" t="n"/>
      <c r="H10" s="46" t="n"/>
      <c r="I10" s="46" t="n"/>
      <c r="J10" s="46" t="n"/>
      <c r="K10" s="38" t="inlineStr">
        <is>
          <t>EM ANDAMENTO</t>
        </is>
      </c>
      <c r="L10" s="47" t="n"/>
      <c r="M10" s="40" t="n"/>
      <c r="N10" s="41" t="n"/>
      <c r="O10" s="42" t="n"/>
      <c r="P10" s="42" t="n"/>
      <c r="Q10" s="42" t="n"/>
      <c r="R10" s="42" t="n"/>
      <c r="S10" s="42" t="n"/>
      <c r="T10" s="42" t="n"/>
      <c r="U10" s="42" t="n"/>
      <c r="V10" s="42" t="n"/>
    </row>
    <row r="11" ht="13.5" customHeight="1" s="108">
      <c r="A11" s="32" t="n"/>
      <c r="B11" s="118" t="n"/>
      <c r="C11" s="45" t="n">
        <v>5</v>
      </c>
      <c r="D11" s="45" t="inlineStr">
        <is>
          <t xml:space="preserve">Listar os docentes contemplados em editais </t>
        </is>
      </c>
      <c r="E11" s="46" t="inlineStr">
        <is>
          <t>Assegurar infraestrutura adequada para realização das atividades</t>
        </is>
      </c>
      <c r="F11" s="37" t="inlineStr">
        <is>
          <t>Comissão de Credenciamento e Acompanhamento Docente</t>
        </is>
      </c>
      <c r="G11" s="46" t="n"/>
      <c r="H11" s="46" t="n"/>
      <c r="I11" s="46" t="n"/>
      <c r="J11" s="46" t="n"/>
      <c r="K11" s="38" t="inlineStr">
        <is>
          <t>EM ANDAMENTO</t>
        </is>
      </c>
      <c r="L11" s="47" t="n"/>
      <c r="M11" s="40">
        <f>IF(#REF!="",0,IF(#REF!&gt;1,1,IF(IF(#REF!="",#REF!,#REF!)&lt;TODAY(),2,IF(#REF!&gt;1,3,4))))</f>
        <v/>
      </c>
      <c r="N11" s="41">
        <f>IF(#REF!="",0,MONTH(#REF!))</f>
        <v/>
      </c>
      <c r="O11" s="42" t="n"/>
      <c r="P11" s="42" t="n"/>
      <c r="Q11" s="42" t="n"/>
      <c r="R11" s="42" t="n"/>
      <c r="S11" s="42" t="n"/>
      <c r="T11" s="42" t="n"/>
      <c r="U11" s="42" t="n"/>
      <c r="V11" s="42" t="n"/>
    </row>
    <row r="12" ht="134.25" customHeight="1" s="108">
      <c r="A12" s="32" t="n"/>
      <c r="B12" s="118" t="n"/>
      <c r="C12" s="45" t="n">
        <v>6</v>
      </c>
      <c r="D12" s="74" t="inlineStr">
        <is>
          <t>Manter critérios mínimos de engajamento e permanência docente, além dos critérios estabelecidos pela CAPES (publicação)</t>
        </is>
      </c>
      <c r="E12" s="46" t="inlineStr">
        <is>
          <t>Estimular a participação do docente em todas as atividades do programa</t>
        </is>
      </c>
      <c r="F12" s="37" t="inlineStr">
        <is>
          <t>Comissão de Credenciamento e Acompanhamento Docente</t>
        </is>
      </c>
      <c r="G12" s="46" t="n"/>
      <c r="H12" s="46" t="n"/>
      <c r="I12" s="46" t="n"/>
      <c r="J12" s="46" t="n"/>
      <c r="K12" s="38" t="inlineStr">
        <is>
          <t>EM ANDAMENTO</t>
        </is>
      </c>
      <c r="L12" s="47" t="n"/>
      <c r="M12" s="40">
        <f>IF(#REF!="",0,IF(#REF!&gt;1,1,IF(IF(#REF!="",#REF!,#REF!)&lt;TODAY(),2,IF(#REF!&gt;1,3,4))))</f>
        <v/>
      </c>
      <c r="N12" s="41">
        <f>IF(#REF!="",0,MONTH(#REF!))</f>
        <v/>
      </c>
      <c r="O12" s="42" t="n"/>
      <c r="P12" s="42" t="n"/>
      <c r="Q12" s="42" t="n"/>
      <c r="R12" s="42" t="n"/>
      <c r="S12" s="42" t="n"/>
      <c r="T12" s="42" t="n"/>
      <c r="U12" s="42" t="n"/>
      <c r="V12" s="42" t="n"/>
    </row>
    <row r="13" ht="13.5" customHeight="1" s="108">
      <c r="A13" s="32" t="n"/>
      <c r="B13" s="118" t="n"/>
      <c r="C13" s="45" t="n">
        <v>7</v>
      </c>
      <c r="D13" s="45" t="inlineStr">
        <is>
          <t>Atualizar e monitorar o planejamento estratégico</t>
        </is>
      </c>
      <c r="E13" s="46" t="inlineStr">
        <is>
          <t>Melhorar o andamento do programa</t>
        </is>
      </c>
      <c r="F13" s="37" t="inlineStr">
        <is>
          <t>Comissão de Monitoramento do Planejamento Estratégico</t>
        </is>
      </c>
      <c r="G13" s="46" t="n"/>
      <c r="H13" s="46" t="n"/>
      <c r="I13" s="46" t="n"/>
      <c r="J13" s="46" t="n"/>
      <c r="K13" s="38" t="inlineStr">
        <is>
          <t>EM ANDAMENTO</t>
        </is>
      </c>
      <c r="L13" s="47" t="n"/>
      <c r="M13" s="40">
        <f>IF(#REF!="",0,IF(#REF!&gt;1,1,IF(IF(#REF!="",#REF!,#REF!)&lt;TODAY(),2,IF(#REF!&gt;1,3,4))))</f>
        <v/>
      </c>
      <c r="N13" s="41">
        <f>IF(#REF!="",0,MONTH(#REF!))</f>
        <v/>
      </c>
      <c r="O13" s="42" t="n"/>
      <c r="P13" s="42" t="n"/>
      <c r="Q13" s="42" t="n"/>
      <c r="R13" s="42" t="n"/>
      <c r="S13" s="42" t="n"/>
      <c r="T13" s="42" t="n"/>
      <c r="U13" s="42" t="n"/>
      <c r="V13" s="42" t="n"/>
    </row>
    <row r="14" ht="98.25" customHeight="1" s="108">
      <c r="A14" s="32" t="n"/>
      <c r="B14" s="118" t="n"/>
      <c r="C14" s="45" t="n">
        <v>8</v>
      </c>
      <c r="D14" s="45" t="inlineStr">
        <is>
          <t>Apresentar a evolução do planejamento estratégico do MPEA a cada semestre</t>
        </is>
      </c>
      <c r="E14" s="46" t="inlineStr">
        <is>
          <t>Disseminar  as ações do programa</t>
        </is>
      </c>
      <c r="F14" s="37" t="inlineStr">
        <is>
          <t>Comissão de Monitoramento do Planejamento Estratégico</t>
        </is>
      </c>
      <c r="G14" s="46" t="n"/>
      <c r="H14" s="46" t="n"/>
      <c r="I14" s="46" t="n"/>
      <c r="J14" s="46" t="n"/>
      <c r="K14" s="38" t="inlineStr">
        <is>
          <t>EM ANDAMENTO</t>
        </is>
      </c>
      <c r="L14" s="47" t="n"/>
      <c r="M14" s="40">
        <f>IF(#REF!="",0,IF(#REF!&gt;1,1,IF(IF(#REF!="",#REF!,#REF!)&lt;TODAY(),2,IF(#REF!&gt;1,3,4))))</f>
        <v/>
      </c>
      <c r="N14" s="41">
        <f>IF(#REF!="",0,MONTH(#REF!))</f>
        <v/>
      </c>
      <c r="O14" s="42" t="n"/>
      <c r="P14" s="42" t="n"/>
      <c r="Q14" s="42" t="n"/>
      <c r="R14" s="42" t="n"/>
      <c r="S14" s="42" t="n"/>
      <c r="T14" s="42" t="n"/>
      <c r="U14" s="42" t="n"/>
      <c r="V14" s="42" t="n"/>
    </row>
    <row r="15" ht="98.25" customHeight="1" s="108">
      <c r="A15" s="32" t="n"/>
      <c r="B15" s="118" t="n"/>
      <c r="C15" s="51" t="n">
        <v>9</v>
      </c>
      <c r="D15" s="51" t="inlineStr">
        <is>
          <t>Aprovação do Doutorado Profissional</t>
        </is>
      </c>
      <c r="E15" s="52" t="inlineStr">
        <is>
          <t>Doutorado Profissional</t>
        </is>
      </c>
      <c r="F15" s="37" t="inlineStr">
        <is>
          <t>Coordenação do MPEA</t>
        </is>
      </c>
      <c r="G15" s="52" t="n"/>
      <c r="H15" s="52" t="n"/>
      <c r="I15" s="52" t="n"/>
      <c r="J15" s="52" t="n"/>
      <c r="K15" s="38" t="inlineStr">
        <is>
          <t>PENDENTE</t>
        </is>
      </c>
      <c r="L15" s="53" t="n"/>
      <c r="M15" s="40" t="n"/>
      <c r="N15" s="41">
        <f>IF(#REF!="",0,MONTH(#REF!))</f>
        <v/>
      </c>
      <c r="O15" s="42" t="n"/>
      <c r="P15" s="42" t="n"/>
      <c r="Q15" s="42" t="n"/>
      <c r="R15" s="42" t="n"/>
      <c r="S15" s="42" t="n"/>
      <c r="T15" s="42" t="n"/>
      <c r="U15" s="42" t="n"/>
      <c r="V15" s="42" t="n"/>
    </row>
    <row r="16" ht="98.25" customHeight="1" s="108">
      <c r="A16" s="32" t="n"/>
      <c r="B16" s="118" t="n"/>
      <c r="C16" s="51" t="n">
        <v>10</v>
      </c>
      <c r="D16" s="57" t="inlineStr">
        <is>
          <t>Estabelecer critérios para seleção de campos de prática e preceptores</t>
        </is>
      </c>
      <c r="E16" s="52" t="n"/>
      <c r="F16" s="37" t="inlineStr">
        <is>
          <t>Coordenação do MPEA</t>
        </is>
      </c>
      <c r="G16" s="52" t="n"/>
      <c r="H16" s="52" t="n"/>
      <c r="I16" s="52" t="n"/>
      <c r="J16" s="52" t="n"/>
      <c r="K16" s="38" t="inlineStr">
        <is>
          <t>PENDENTE</t>
        </is>
      </c>
      <c r="L16" s="53" t="n"/>
      <c r="M16" s="40" t="n"/>
      <c r="N16" s="41" t="n"/>
      <c r="O16" s="42" t="n"/>
      <c r="P16" s="42" t="n"/>
      <c r="Q16" s="42" t="n"/>
      <c r="R16" s="42" t="n"/>
      <c r="S16" s="42" t="n"/>
      <c r="T16" s="42" t="n"/>
      <c r="U16" s="42" t="n"/>
      <c r="V16" s="42" t="n"/>
    </row>
    <row r="17" ht="98.25" customHeight="1" s="108">
      <c r="A17" s="32" t="n"/>
      <c r="B17" s="118" t="n"/>
      <c r="C17" s="51" t="n">
        <v>11</v>
      </c>
      <c r="D17" s="57" t="inlineStr">
        <is>
          <t>Elencar os egressos do doutorado acadêmico para selecionar possíveis preceptores</t>
        </is>
      </c>
      <c r="E17" s="52" t="n"/>
      <c r="F17" s="37" t="inlineStr">
        <is>
          <t>Coordenação do MPEA</t>
        </is>
      </c>
      <c r="G17" s="52" t="n"/>
      <c r="H17" s="52" t="n"/>
      <c r="I17" s="52" t="n"/>
      <c r="J17" s="52" t="n"/>
      <c r="K17" s="38" t="inlineStr">
        <is>
          <t>PENDENTE</t>
        </is>
      </c>
      <c r="L17" s="53" t="n"/>
      <c r="M17" s="40" t="n"/>
      <c r="N17" s="41" t="n"/>
      <c r="O17" s="42" t="n"/>
      <c r="P17" s="42" t="n"/>
      <c r="Q17" s="42" t="n"/>
      <c r="R17" s="42" t="n"/>
      <c r="S17" s="42" t="n"/>
      <c r="T17" s="42" t="n"/>
      <c r="U17" s="42" t="n"/>
      <c r="V17" s="42" t="n"/>
    </row>
    <row r="18" ht="98.25" customHeight="1" s="108">
      <c r="A18" s="32" t="n"/>
      <c r="B18" s="118" t="n"/>
      <c r="C18" s="51" t="n">
        <v>12</v>
      </c>
      <c r="D18" s="57" t="inlineStr">
        <is>
          <t>Captar e estabelecer incentivo para preceptores</t>
        </is>
      </c>
      <c r="E18" s="52" t="n"/>
      <c r="F18" s="37" t="inlineStr">
        <is>
          <t>Coordenação do MPEA</t>
        </is>
      </c>
      <c r="G18" s="52" t="n"/>
      <c r="H18" s="52" t="n"/>
      <c r="I18" s="52" t="n"/>
      <c r="J18" s="52" t="n"/>
      <c r="K18" s="38" t="inlineStr">
        <is>
          <t>PENDENTE</t>
        </is>
      </c>
      <c r="L18" s="53" t="n"/>
      <c r="M18" s="40" t="n"/>
      <c r="N18" s="41" t="n"/>
      <c r="O18" s="42" t="n"/>
      <c r="P18" s="42" t="n"/>
      <c r="Q18" s="42" t="n"/>
      <c r="R18" s="42" t="n"/>
      <c r="S18" s="42" t="n"/>
      <c r="T18" s="42" t="n"/>
      <c r="U18" s="42" t="n"/>
      <c r="V18" s="42" t="n"/>
    </row>
    <row r="19" ht="98.25" customHeight="1" s="108">
      <c r="A19" s="32" t="n"/>
      <c r="B19" s="118" t="n"/>
      <c r="C19" s="51" t="n">
        <v>13</v>
      </c>
      <c r="D19" s="57" t="inlineStr">
        <is>
          <t>Estreitar parcerias com gestores de instituições públicas e privadas</t>
        </is>
      </c>
      <c r="E19" s="52" t="n"/>
      <c r="F19" s="37" t="inlineStr">
        <is>
          <t>Coordenação do MPEA</t>
        </is>
      </c>
      <c r="G19" s="52" t="n"/>
      <c r="H19" s="52" t="n"/>
      <c r="I19" s="52" t="n"/>
      <c r="J19" s="52" t="n"/>
      <c r="K19" s="38" t="inlineStr">
        <is>
          <t>EM ANDAMENTO</t>
        </is>
      </c>
      <c r="L19" s="53" t="n"/>
      <c r="M19" s="40" t="n"/>
      <c r="N19" s="41" t="n"/>
      <c r="O19" s="42" t="n"/>
      <c r="P19" s="42" t="n"/>
      <c r="Q19" s="42" t="n"/>
      <c r="R19" s="42" t="n"/>
      <c r="S19" s="42" t="n"/>
      <c r="T19" s="42" t="n"/>
      <c r="U19" s="42" t="n"/>
      <c r="V19" s="42" t="n"/>
    </row>
    <row r="20" ht="98.25" customHeight="1" s="108">
      <c r="A20" s="32" t="n"/>
      <c r="B20" s="118" t="n"/>
      <c r="C20" s="51" t="n">
        <v>14</v>
      </c>
      <c r="D20" s="57" t="inlineStr">
        <is>
          <t>Rever a matriz curricular incorporando a prática avançada</t>
        </is>
      </c>
      <c r="E20" s="52" t="n"/>
      <c r="F20" s="37" t="inlineStr">
        <is>
          <t>Coordenação do MPEA</t>
        </is>
      </c>
      <c r="G20" s="52" t="n"/>
      <c r="H20" s="52" t="n"/>
      <c r="I20" s="52" t="n"/>
      <c r="J20" s="52" t="n"/>
      <c r="K20" s="38" t="inlineStr">
        <is>
          <t>PENDENTE</t>
        </is>
      </c>
      <c r="L20" s="53" t="n"/>
      <c r="M20" s="40" t="n"/>
      <c r="N20" s="41" t="n"/>
      <c r="O20" s="42" t="n"/>
      <c r="P20" s="42" t="n"/>
      <c r="Q20" s="42" t="n"/>
      <c r="R20" s="42" t="n"/>
      <c r="S20" s="42" t="n"/>
      <c r="T20" s="42" t="n"/>
      <c r="U20" s="42" t="n"/>
      <c r="V20" s="42" t="n"/>
    </row>
    <row r="21" ht="98.25" customHeight="1" s="108">
      <c r="A21" s="32" t="n"/>
      <c r="B21" s="118" t="n"/>
      <c r="C21" s="51" t="n">
        <v>15</v>
      </c>
      <c r="D21" s="57" t="inlineStr">
        <is>
          <t>Implementar estratégias para acompanhamento de egressos (criação de comunidades, descontos em cursos e eventos)</t>
        </is>
      </c>
      <c r="E21" s="52" t="n"/>
      <c r="F21" s="37" t="inlineStr">
        <is>
          <t>Comissão de Acompanhamento de Egressos</t>
        </is>
      </c>
      <c r="G21" s="52" t="n"/>
      <c r="H21" s="52" t="n"/>
      <c r="I21" s="52" t="n"/>
      <c r="J21" s="52" t="n"/>
      <c r="K21" s="38" t="inlineStr">
        <is>
          <t>PENDENTE</t>
        </is>
      </c>
      <c r="L21" s="53" t="n"/>
      <c r="M21" s="40" t="n"/>
      <c r="N21" s="41" t="n"/>
      <c r="O21" s="42" t="n"/>
      <c r="P21" s="42" t="n"/>
      <c r="Q21" s="42" t="n"/>
      <c r="R21" s="42" t="n"/>
      <c r="S21" s="42" t="n"/>
      <c r="T21" s="42" t="n"/>
      <c r="U21" s="42" t="n"/>
      <c r="V21" s="42" t="n"/>
    </row>
    <row r="22" ht="98.25" customHeight="1" s="108">
      <c r="A22" s="32" t="n"/>
      <c r="B22" s="118" t="n"/>
      <c r="C22" s="51" t="n">
        <v>16</v>
      </c>
      <c r="D22" s="57" t="inlineStr">
        <is>
          <t>Criação de evento anual para integração de egressos e alunos do Programa</t>
        </is>
      </c>
      <c r="E22" s="52" t="n"/>
      <c r="F22" s="37" t="inlineStr">
        <is>
          <t>Comissão de Acompanhamento de Egressos</t>
        </is>
      </c>
      <c r="G22" s="52" t="n"/>
      <c r="H22" s="52" t="n"/>
      <c r="I22" s="52" t="n"/>
      <c r="J22" s="52" t="n"/>
      <c r="K22" s="38" t="inlineStr">
        <is>
          <t>PENDENTE</t>
        </is>
      </c>
      <c r="L22" s="53" t="n"/>
      <c r="M22" s="40" t="n"/>
      <c r="N22" s="41" t="n"/>
      <c r="O22" s="42" t="n"/>
      <c r="P22" s="42" t="n"/>
      <c r="Q22" s="42" t="n"/>
      <c r="R22" s="42" t="n"/>
      <c r="S22" s="42" t="n"/>
      <c r="T22" s="42" t="n"/>
      <c r="U22" s="42" t="n"/>
      <c r="V22" s="42" t="n"/>
    </row>
    <row r="23" ht="98.25" customHeight="1" s="108">
      <c r="A23" s="32" t="n"/>
      <c r="B23" s="118" t="n"/>
      <c r="C23" s="51" t="n">
        <v>17</v>
      </c>
      <c r="D23" s="57" t="inlineStr">
        <is>
          <t>Estabelecer estratégiais para conscientização do discente em relação ao compromisso com o Programa mesmo após a finalização do curso</t>
        </is>
      </c>
      <c r="E23" s="52" t="n"/>
      <c r="F23" s="37" t="inlineStr">
        <is>
          <t>Comissão de Acompanhamento Discente</t>
        </is>
      </c>
      <c r="G23" s="52" t="n"/>
      <c r="H23" s="52" t="n"/>
      <c r="I23" s="52" t="n"/>
      <c r="J23" s="52" t="n"/>
      <c r="K23" s="38" t="inlineStr">
        <is>
          <t>EM ANDAMENTO</t>
        </is>
      </c>
      <c r="L23" s="53" t="n"/>
      <c r="M23" s="40" t="n"/>
      <c r="N23" s="41" t="n"/>
      <c r="O23" s="42" t="n"/>
      <c r="P23" s="42" t="n"/>
      <c r="Q23" s="42" t="n"/>
      <c r="R23" s="42" t="n"/>
      <c r="S23" s="42" t="n"/>
      <c r="T23" s="42" t="n"/>
      <c r="U23" s="42" t="n"/>
      <c r="V23" s="42" t="n"/>
    </row>
    <row r="24" ht="98.25" customHeight="1" s="108">
      <c r="A24" s="32" t="n"/>
      <c r="B24" s="118" t="n"/>
      <c r="C24" s="51" t="n">
        <v>18</v>
      </c>
      <c r="D24" s="57" t="inlineStr">
        <is>
          <t xml:space="preserve">Formação de grupos de trabalho para utilização do prédio de medicina </t>
        </is>
      </c>
      <c r="E24" s="52" t="n"/>
      <c r="F24" s="37" t="inlineStr">
        <is>
          <t>Coordenação do MPEA</t>
        </is>
      </c>
      <c r="G24" s="52" t="n"/>
      <c r="H24" s="52" t="n"/>
      <c r="I24" s="52" t="n"/>
      <c r="J24" s="52" t="n"/>
      <c r="K24" s="38" t="inlineStr">
        <is>
          <t>PENDENTE</t>
        </is>
      </c>
      <c r="L24" s="53" t="n"/>
      <c r="M24" s="40" t="n"/>
      <c r="N24" s="41" t="n"/>
      <c r="O24" s="42" t="n"/>
      <c r="P24" s="42" t="n"/>
      <c r="Q24" s="42" t="n"/>
      <c r="R24" s="42" t="n"/>
      <c r="S24" s="42" t="n"/>
      <c r="T24" s="42" t="n"/>
      <c r="U24" s="42" t="n"/>
      <c r="V24" s="42" t="n"/>
    </row>
    <row r="25" ht="98.25" customHeight="1" s="108">
      <c r="A25" s="32" t="n"/>
      <c r="B25" s="118" t="n"/>
      <c r="C25" s="51" t="n">
        <v>19</v>
      </c>
      <c r="D25" s="57" t="inlineStr">
        <is>
          <t>Estabelecer parcerias com outras unidades e áreas correlatas (interdisciplinaridade)</t>
        </is>
      </c>
      <c r="E25" s="52" t="n"/>
      <c r="F25" s="37" t="inlineStr">
        <is>
          <t>Coordenação do MPEA</t>
        </is>
      </c>
      <c r="G25" s="52" t="n"/>
      <c r="H25" s="52" t="n"/>
      <c r="I25" s="52" t="n"/>
      <c r="J25" s="52" t="n"/>
      <c r="K25" s="38" t="inlineStr">
        <is>
          <t>EM ANDAMENTO</t>
        </is>
      </c>
      <c r="L25" s="53" t="n"/>
      <c r="M25" s="40" t="n"/>
      <c r="N25" s="41" t="n"/>
      <c r="O25" s="42" t="n"/>
      <c r="P25" s="42" t="n"/>
      <c r="Q25" s="42" t="n"/>
      <c r="R25" s="42" t="n"/>
      <c r="S25" s="42" t="n"/>
      <c r="T25" s="42" t="n"/>
      <c r="U25" s="42" t="n"/>
      <c r="V25" s="42" t="n"/>
    </row>
    <row r="26" ht="98.25" customHeight="1" s="108">
      <c r="A26" s="32" t="n"/>
      <c r="B26" s="118" t="n"/>
      <c r="C26" s="51" t="n">
        <v>20</v>
      </c>
      <c r="D26" s="57" t="inlineStr">
        <is>
          <t>Estabelecer maior diálogo com os espaços de construção e implementação de Políticas Públicas</t>
        </is>
      </c>
      <c r="E26" s="52" t="n"/>
      <c r="F26" s="37" t="inlineStr">
        <is>
          <t>Coordenação do MPEA</t>
        </is>
      </c>
      <c r="G26" s="52" t="n"/>
      <c r="H26" s="52" t="n"/>
      <c r="I26" s="52" t="n"/>
      <c r="J26" s="52" t="n"/>
      <c r="K26" s="38" t="inlineStr">
        <is>
          <t>EM ANDAMENTO</t>
        </is>
      </c>
      <c r="L26" s="53" t="n"/>
      <c r="M26" s="40" t="n"/>
      <c r="N26" s="41" t="n"/>
      <c r="O26" s="42" t="n"/>
      <c r="P26" s="42" t="n"/>
      <c r="Q26" s="42" t="n"/>
      <c r="R26" s="42" t="n"/>
      <c r="S26" s="42" t="n"/>
      <c r="T26" s="42" t="n"/>
      <c r="U26" s="42" t="n"/>
      <c r="V26" s="42" t="n"/>
    </row>
    <row r="27" ht="98.25" customHeight="1" s="108">
      <c r="A27" s="32" t="n"/>
      <c r="B27" s="118" t="n"/>
      <c r="C27" s="51" t="n">
        <v>21</v>
      </c>
      <c r="D27" s="55" t="inlineStr">
        <is>
          <t>Criação de disciplinas em línguas estrangeiras</t>
        </is>
      </c>
      <c r="E27" s="52" t="n"/>
      <c r="F27" s="37" t="inlineStr">
        <is>
          <t>Coordenação do MPEA</t>
        </is>
      </c>
      <c r="G27" s="52" t="n"/>
      <c r="H27" s="52" t="n"/>
      <c r="I27" s="52" t="n"/>
      <c r="J27" s="52" t="n"/>
      <c r="K27" s="38" t="inlineStr">
        <is>
          <t>PENDENTE</t>
        </is>
      </c>
      <c r="L27" s="53" t="n"/>
      <c r="M27" s="40" t="n"/>
      <c r="N27" s="41" t="n"/>
      <c r="O27" s="42" t="n"/>
      <c r="P27" s="42" t="n"/>
      <c r="Q27" s="42" t="n"/>
      <c r="R27" s="42" t="n"/>
      <c r="S27" s="42" t="n"/>
      <c r="T27" s="42" t="n"/>
      <c r="U27" s="42" t="n"/>
      <c r="V27" s="42" t="n"/>
    </row>
    <row r="28" ht="98.25" customHeight="1" s="108">
      <c r="A28" s="32" t="n"/>
      <c r="B28" s="118" t="n"/>
      <c r="C28" s="51" t="n">
        <v>22</v>
      </c>
      <c r="D28" s="57" t="inlineStr">
        <is>
          <t>Criação de disciplinas com perspectivas interdisciplinares</t>
        </is>
      </c>
      <c r="E28" s="52" t="n"/>
      <c r="F28" s="37" t="inlineStr">
        <is>
          <t>Coordenação do MPEA</t>
        </is>
      </c>
      <c r="G28" s="52" t="n"/>
      <c r="H28" s="52" t="n"/>
      <c r="I28" s="52" t="n"/>
      <c r="J28" s="52" t="n"/>
      <c r="K28" s="38" t="inlineStr">
        <is>
          <t>PENDENTE</t>
        </is>
      </c>
      <c r="L28" s="53" t="n"/>
      <c r="M28" s="40" t="n"/>
      <c r="N28" s="41" t="n"/>
      <c r="O28" s="42" t="n"/>
      <c r="P28" s="42" t="n"/>
      <c r="Q28" s="42" t="n"/>
      <c r="R28" s="42" t="n"/>
      <c r="S28" s="42" t="n"/>
      <c r="T28" s="42" t="n"/>
      <c r="U28" s="42" t="n"/>
      <c r="V28" s="42" t="n"/>
    </row>
    <row r="29" ht="98.25" customHeight="1" s="108">
      <c r="A29" s="32" t="n"/>
      <c r="B29" s="118" t="n"/>
      <c r="C29" s="51" t="n">
        <v>23</v>
      </c>
      <c r="D29" s="57" t="inlineStr">
        <is>
          <t>Criação de disciplinas para a prática avançada</t>
        </is>
      </c>
      <c r="E29" s="52" t="n"/>
      <c r="F29" s="37" t="inlineStr">
        <is>
          <t>Comissão Transitória APCN</t>
        </is>
      </c>
      <c r="G29" s="52" t="n"/>
      <c r="H29" s="52" t="n"/>
      <c r="I29" s="52" t="n"/>
      <c r="J29" s="52" t="n"/>
      <c r="K29" s="38" t="inlineStr">
        <is>
          <t>PENDENTE</t>
        </is>
      </c>
      <c r="L29" s="53" t="n"/>
      <c r="M29" s="40" t="n"/>
      <c r="N29" s="41" t="n"/>
      <c r="O29" s="42" t="n"/>
      <c r="P29" s="42" t="n"/>
      <c r="Q29" s="42" t="n"/>
      <c r="R29" s="42" t="n"/>
      <c r="S29" s="42" t="n"/>
      <c r="T29" s="42" t="n"/>
      <c r="U29" s="42" t="n"/>
      <c r="V29" s="42" t="n"/>
    </row>
    <row r="30" ht="98.25" customHeight="1" s="108">
      <c r="A30" s="32" t="n"/>
      <c r="B30" s="118" t="n"/>
      <c r="C30" s="51" t="n">
        <v>24</v>
      </c>
      <c r="D30" s="57" t="inlineStr">
        <is>
          <t xml:space="preserve">Melhorar a infraestrutura do Programa (ausência de laboratórios e campos de prática, precariedade dos recursos de informática) </t>
        </is>
      </c>
      <c r="E30" s="52" t="n"/>
      <c r="F30" s="37" t="inlineStr">
        <is>
          <t>Coordenação do MPEA</t>
        </is>
      </c>
      <c r="G30" s="52" t="n"/>
      <c r="H30" s="52" t="n"/>
      <c r="I30" s="52" t="n"/>
      <c r="J30" s="52" t="n"/>
      <c r="K30" s="38" t="inlineStr">
        <is>
          <t>PENDENTE</t>
        </is>
      </c>
      <c r="L30" s="53" t="n"/>
      <c r="M30" s="40" t="n"/>
      <c r="N30" s="41" t="n"/>
      <c r="O30" s="42" t="n"/>
      <c r="P30" s="42" t="n"/>
      <c r="Q30" s="42" t="n"/>
      <c r="R30" s="42" t="n"/>
      <c r="S30" s="42" t="n"/>
      <c r="T30" s="42" t="n"/>
      <c r="U30" s="42" t="n"/>
      <c r="V30" s="42" t="n"/>
    </row>
    <row r="31" ht="98.25" customHeight="1" s="108">
      <c r="A31" s="32" t="n"/>
      <c r="B31" s="118" t="n"/>
      <c r="C31" s="51" t="n">
        <v>25</v>
      </c>
      <c r="D31" s="57" t="inlineStr">
        <is>
          <t>Credenciar docentes com dedicação exclusiva ao Programa e atuantes na atenção primária</t>
        </is>
      </c>
      <c r="E31" s="52" t="n"/>
      <c r="F31" s="37" t="inlineStr">
        <is>
          <t>Comissão de Credenciamento e Acompanhamento Docente</t>
        </is>
      </c>
      <c r="G31" s="52" t="n"/>
      <c r="H31" s="52" t="n"/>
      <c r="I31" s="52" t="n"/>
      <c r="J31" s="52" t="n"/>
      <c r="K31" s="38" t="inlineStr">
        <is>
          <t>PENDENTE</t>
        </is>
      </c>
      <c r="L31" s="53" t="n"/>
      <c r="M31" s="40" t="n"/>
      <c r="N31" s="41" t="n"/>
      <c r="O31" s="42" t="n"/>
      <c r="P31" s="42" t="n"/>
      <c r="Q31" s="42" t="n"/>
      <c r="R31" s="42" t="n"/>
      <c r="S31" s="42" t="n"/>
      <c r="T31" s="42" t="n"/>
      <c r="U31" s="42" t="n"/>
      <c r="V31" s="42" t="n"/>
    </row>
    <row r="32" ht="98.25" customHeight="1" s="108">
      <c r="A32" s="32" t="n"/>
      <c r="B32" s="118" t="n"/>
      <c r="C32" s="51" t="n">
        <v>26</v>
      </c>
      <c r="D32" s="57" t="inlineStr">
        <is>
          <t xml:space="preserve">Realizar avaliação quantitativa e qualitativa de riscos </t>
        </is>
      </c>
      <c r="E32" s="52" t="n"/>
      <c r="F32" s="37" t="inlineStr">
        <is>
          <t>Comissão de Monitoramento do Planejamento Estratégico</t>
        </is>
      </c>
      <c r="G32" s="52" t="n"/>
      <c r="H32" s="52" t="n"/>
      <c r="I32" s="52" t="n"/>
      <c r="J32" s="52" t="n"/>
      <c r="K32" s="38" t="inlineStr">
        <is>
          <t>PENDENTE</t>
        </is>
      </c>
      <c r="L32" s="53" t="n"/>
      <c r="M32" s="40" t="n"/>
      <c r="N32" s="41" t="n"/>
      <c r="O32" s="42" t="n"/>
      <c r="P32" s="42" t="n"/>
      <c r="Q32" s="42" t="n"/>
      <c r="R32" s="42" t="n"/>
      <c r="S32" s="42" t="n"/>
      <c r="T32" s="42" t="n"/>
      <c r="U32" s="42" t="n"/>
      <c r="V32" s="42" t="n"/>
    </row>
    <row r="33" ht="13.5" customHeight="1" s="108">
      <c r="A33" s="32" t="n"/>
      <c r="B33" s="118" t="n"/>
      <c r="C33" s="51" t="n">
        <v>27</v>
      </c>
      <c r="D33" s="57" t="inlineStr">
        <is>
          <t>Identificar as estratégias de ensino com uso de metodologias ativas utilizadas pelo corpo docente do MPEA</t>
        </is>
      </c>
      <c r="E33" s="52" t="inlineStr">
        <is>
          <t>Atender à recomendação de ensino inovador da CAPES</t>
        </is>
      </c>
      <c r="F33" s="37" t="inlineStr">
        <is>
          <t>Comissão de Credenciamento e Acompanhamento Docente</t>
        </is>
      </c>
      <c r="G33" s="52" t="n"/>
      <c r="H33" s="52" t="n"/>
      <c r="I33" s="52" t="n"/>
      <c r="J33" s="52" t="n"/>
      <c r="K33" s="38" t="inlineStr">
        <is>
          <t>EM ANDAMENTO</t>
        </is>
      </c>
      <c r="L33" s="53" t="n"/>
      <c r="M33" s="40">
        <f>IF(#REF!="",0,IF(#REF!&gt;1,1,IF(IF(#REF!="",#REF!,#REF!)&lt;TODAY(),2,IF(#REF!&gt;1,3,4))))</f>
        <v/>
      </c>
      <c r="N33" s="41">
        <f>IF(#REF!="",0,MONTH(#REF!))</f>
        <v/>
      </c>
      <c r="O33" s="42" t="n"/>
      <c r="P33" s="42" t="n"/>
      <c r="Q33" s="42" t="n"/>
      <c r="R33" s="42" t="n"/>
      <c r="S33" s="42" t="n"/>
      <c r="T33" s="42" t="n"/>
      <c r="U33" s="42" t="n"/>
      <c r="V33" s="42" t="n"/>
    </row>
    <row r="34" ht="153.75" customHeight="1" s="108">
      <c r="A34" s="32" t="n"/>
      <c r="B34" s="119" t="inlineStr">
        <is>
          <t>E I X O     F O R M A Ç Ã O</t>
        </is>
      </c>
      <c r="C34" s="35" t="n">
        <v>28</v>
      </c>
      <c r="D34" s="59" t="inlineStr">
        <is>
          <t>Acompanhar produção dos egressos (acadêmica e profissional)</t>
        </is>
      </c>
      <c r="E34" s="37" t="inlineStr">
        <is>
          <t>Ter controle dos avanços obtidos pelos alunos, permitindo mensurar impacto do programa.</t>
        </is>
      </c>
      <c r="F34" s="37" t="inlineStr">
        <is>
          <t>Comissão de Acompanhamento de Egressos</t>
        </is>
      </c>
      <c r="G34" s="37" t="n"/>
      <c r="H34" s="37" t="n"/>
      <c r="I34" s="37" t="n"/>
      <c r="J34" s="37" t="n"/>
      <c r="K34" s="38" t="inlineStr">
        <is>
          <t>EM ANDAMENTO</t>
        </is>
      </c>
      <c r="L34" s="39" t="n"/>
      <c r="M34" s="40">
        <f>IF(#REF!="",0,IF(#REF!&gt;1,1,IF(IF(#REF!="",#REF!,#REF!)&lt;TODAY(),2,IF(#REF!&gt;1,3,4))))</f>
        <v/>
      </c>
      <c r="N34" s="41">
        <f>IF(#REF!="",0,MONTH(#REF!))</f>
        <v/>
      </c>
      <c r="O34" s="42" t="n"/>
      <c r="P34" s="42" t="n"/>
      <c r="Q34" s="42" t="n"/>
      <c r="R34" s="42" t="n"/>
      <c r="S34" s="42" t="n"/>
      <c r="T34" s="42" t="n"/>
      <c r="U34" s="42" t="n"/>
      <c r="V34" s="42" t="n"/>
    </row>
    <row r="35" ht="49.5" customHeight="1" s="108">
      <c r="A35" s="32" t="n"/>
      <c r="B35" s="118" t="n"/>
      <c r="C35" s="60" t="n">
        <v>29</v>
      </c>
      <c r="D35" s="60" t="inlineStr">
        <is>
          <t>Buscar demanda do corpo discente e docente acerca de capacitações necessárias</t>
        </is>
      </c>
      <c r="E35" s="61" t="n"/>
      <c r="F35" s="37" t="inlineStr">
        <is>
          <t>Coordenação do MPEA</t>
        </is>
      </c>
      <c r="G35" s="61" t="n"/>
      <c r="H35" s="61" t="n"/>
      <c r="I35" s="61" t="n"/>
      <c r="J35" s="61" t="n"/>
      <c r="K35" s="38" t="inlineStr">
        <is>
          <t>EM ANDAMENTO</t>
        </is>
      </c>
      <c r="L35" s="62" t="n"/>
      <c r="M35" s="40" t="n"/>
      <c r="N35" s="41" t="n"/>
      <c r="O35" s="42" t="n"/>
      <c r="P35" s="42" t="n"/>
      <c r="Q35" s="42" t="n"/>
      <c r="R35" s="42" t="n"/>
      <c r="S35" s="42" t="n"/>
      <c r="T35" s="42" t="n"/>
      <c r="U35" s="42" t="n"/>
      <c r="V35" s="42" t="n"/>
    </row>
    <row r="36" ht="13.5" customHeight="1" s="108">
      <c r="A36" s="32" t="n"/>
      <c r="B36" s="118" t="n"/>
      <c r="C36" s="45" t="n">
        <v>30</v>
      </c>
      <c r="D36" s="74" t="inlineStr">
        <is>
          <t>Capacitação anual de docentes e discentes, sobre o alinhamento e mecanismos de registro dos produtos (lattes e nos órgãos reguladores).</t>
        </is>
      </c>
      <c r="E36" s="46" t="inlineStr">
        <is>
          <t>Falta de registro do produto no lattes e nos órgãos reguladores. Falta de alinhamento entre os produtos e a linha de pesquisa.</t>
        </is>
      </c>
      <c r="F36" s="37" t="inlineStr">
        <is>
          <t>Coordenação do MPEA</t>
        </is>
      </c>
      <c r="G36" s="46" t="n"/>
      <c r="H36" s="46" t="n"/>
      <c r="I36" s="46" t="n"/>
      <c r="J36" s="46" t="n"/>
      <c r="K36" s="38" t="inlineStr">
        <is>
          <t>EM ANDAMENTO</t>
        </is>
      </c>
      <c r="L36" s="47" t="n"/>
      <c r="M36" s="40">
        <f>IF(#REF!="",0,IF(#REF!&gt;1,1,IF(IF(#REF!="",#REF!,#REF!)&lt;TODAY(),2,IF(#REF!&gt;1,3,4))))</f>
        <v/>
      </c>
      <c r="N36" s="41">
        <f>IF(#REF!="",0,MONTH(#REF!))</f>
        <v/>
      </c>
      <c r="O36" s="42" t="n"/>
      <c r="P36" s="42" t="n"/>
      <c r="Q36" s="42" t="n"/>
      <c r="R36" s="42" t="n"/>
      <c r="S36" s="42" t="n"/>
      <c r="T36" s="42" t="n"/>
      <c r="U36" s="42" t="n"/>
      <c r="V36" s="42" t="n"/>
    </row>
    <row r="37" ht="13.5" customHeight="1" s="108">
      <c r="A37" s="32" t="n"/>
      <c r="B37" s="118" t="n"/>
      <c r="C37" s="45" t="n">
        <v>31</v>
      </c>
      <c r="D37" s="74" t="inlineStr">
        <is>
          <t>Incorporar na disciplina de projetos e práticas, o registro do protótipo do produto como critério de avaliação</t>
        </is>
      </c>
      <c r="E37" s="46" t="n"/>
      <c r="F37" s="37" t="inlineStr">
        <is>
          <t>Comissão de Credenciamento e Acompanhamento Docente</t>
        </is>
      </c>
      <c r="G37" s="46" t="n"/>
      <c r="H37" s="46" t="n"/>
      <c r="I37" s="46" t="n"/>
      <c r="J37" s="46" t="n"/>
      <c r="K37" s="38" t="inlineStr">
        <is>
          <t>EM ANDAMENTO</t>
        </is>
      </c>
      <c r="L37" s="63" t="n"/>
      <c r="M37" s="40" t="n"/>
      <c r="N37" s="41" t="n"/>
      <c r="O37" s="42" t="n"/>
      <c r="P37" s="42" t="n"/>
      <c r="Q37" s="42" t="n"/>
      <c r="R37" s="42" t="n"/>
      <c r="S37" s="42" t="n"/>
      <c r="T37" s="42" t="n"/>
      <c r="U37" s="42" t="n"/>
      <c r="V37" s="42" t="n"/>
    </row>
    <row r="38" ht="13.5" customHeight="1" s="108">
      <c r="A38" s="32" t="n"/>
      <c r="B38" s="118" t="n"/>
      <c r="C38" s="45" t="n">
        <v>32</v>
      </c>
      <c r="D38" s="74" t="inlineStr">
        <is>
          <t xml:space="preserve">Sensibilização dos gestores dos serviços para implementação dos produtos na prática assistencial </t>
        </is>
      </c>
      <c r="E38" s="46" t="inlineStr">
        <is>
          <t xml:space="preserve">Falta de aplicação do produto na prática </t>
        </is>
      </c>
      <c r="F38" s="37" t="inlineStr">
        <is>
          <t>Coordenação do MPEA</t>
        </is>
      </c>
      <c r="G38" s="46" t="n"/>
      <c r="H38" s="46" t="n"/>
      <c r="I38" s="46" t="n"/>
      <c r="J38" s="46" t="n"/>
      <c r="K38" s="38" t="inlineStr">
        <is>
          <t>EM ANDAMENTO</t>
        </is>
      </c>
      <c r="L38" s="63" t="n"/>
      <c r="M38" s="40">
        <f>IF(#REF!="",0,IF(#REF!&gt;1,1,IF(IF(#REF!="",#REF!,#REF!)&lt;TODAY(),2,IF(#REF!&gt;1,3,4))))</f>
        <v/>
      </c>
      <c r="N38" s="41">
        <f>IF(#REF!="",0,MONTH(#REF!))</f>
        <v/>
      </c>
      <c r="O38" s="42" t="n"/>
      <c r="P38" s="42" t="n"/>
      <c r="Q38" s="42" t="n"/>
      <c r="R38" s="42" t="n"/>
      <c r="S38" s="42" t="n"/>
      <c r="T38" s="42" t="n"/>
      <c r="U38" s="42" t="n"/>
      <c r="V38" s="42" t="n"/>
    </row>
    <row r="39" ht="13.5" customHeight="1" s="108">
      <c r="A39" s="32" t="n"/>
      <c r="B39" s="118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1" t="n"/>
      <c r="M39" s="40">
        <f>IF(#REF!="",0,IF(#REF!&gt;1,1,IF(IF(#REF!="",#REF!,#REF!)&lt;TODAY(),2,IF(#REF!&gt;1,3,4))))</f>
        <v/>
      </c>
      <c r="N39" s="41">
        <f>IF(#REF!="",0,MONTH(#REF!))</f>
        <v/>
      </c>
      <c r="O39" s="42" t="n"/>
      <c r="P39" s="42" t="n"/>
      <c r="Q39" s="42" t="n"/>
      <c r="R39" s="42" t="n"/>
      <c r="S39" s="42" t="n"/>
      <c r="T39" s="42" t="n"/>
      <c r="U39" s="42" t="n"/>
      <c r="V39" s="42" t="n"/>
    </row>
    <row r="40" ht="13.5" customHeight="1" s="108">
      <c r="A40" s="32" t="n"/>
      <c r="B40" s="118" t="n"/>
      <c r="C40" s="120" t="n"/>
      <c r="D40" s="120" t="n"/>
      <c r="E40" s="120" t="n"/>
      <c r="F40" s="120" t="n"/>
      <c r="G40" s="120" t="n"/>
      <c r="H40" s="120" t="n"/>
      <c r="I40" s="120" t="n"/>
      <c r="J40" s="120" t="n"/>
      <c r="K40" s="120" t="n"/>
      <c r="L40" s="121" t="n"/>
      <c r="M40" s="40">
        <f>IF(#REF!="",0,IF(#REF!&gt;1,1,IF(IF(#REF!="",#REF!,#REF!)&lt;TODAY(),2,IF(#REF!&gt;1,3,4))))</f>
        <v/>
      </c>
      <c r="N40" s="41">
        <f>IF(#REF!="",0,MONTH(#REF!))</f>
        <v/>
      </c>
      <c r="O40" s="42" t="n"/>
      <c r="P40" s="42" t="n"/>
      <c r="Q40" s="42" t="n"/>
      <c r="R40" s="42" t="n"/>
      <c r="S40" s="42" t="n"/>
      <c r="T40" s="42" t="n"/>
      <c r="U40" s="42" t="n"/>
      <c r="V40" s="42" t="n"/>
    </row>
    <row r="41" ht="13.5" customHeight="1" s="108">
      <c r="A41" s="32" t="n"/>
      <c r="B41" s="118" t="n"/>
      <c r="C41" s="120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1" t="n"/>
      <c r="M41" s="40">
        <f>IF(#REF!="",0,IF(#REF!&gt;1,1,IF(IF(#REF!="",#REF!,#REF!)&lt;TODAY(),2,IF(#REF!&gt;1,3,4))))</f>
        <v/>
      </c>
      <c r="N41" s="41">
        <f>IF(#REF!="",0,MONTH(#REF!))</f>
        <v/>
      </c>
      <c r="O41" s="42" t="n"/>
      <c r="P41" s="42" t="n"/>
      <c r="Q41" s="42" t="n"/>
      <c r="R41" s="42" t="n"/>
      <c r="S41" s="42" t="n"/>
      <c r="T41" s="42" t="n"/>
      <c r="U41" s="42" t="n"/>
      <c r="V41" s="42" t="n"/>
    </row>
    <row r="42" ht="13.5" customHeight="1" s="108">
      <c r="A42" s="32" t="n"/>
      <c r="B42" s="118" t="n"/>
      <c r="C42" s="120" t="n"/>
      <c r="D42" s="120" t="n"/>
      <c r="E42" s="120" t="n"/>
      <c r="F42" s="120" t="n"/>
      <c r="G42" s="120" t="n"/>
      <c r="H42" s="120" t="n"/>
      <c r="I42" s="120" t="n"/>
      <c r="J42" s="120" t="n"/>
      <c r="K42" s="120" t="n"/>
      <c r="L42" s="121" t="n"/>
      <c r="M42" s="40">
        <f>IF(#REF!="",0,IF(#REF!&gt;1,1,IF(IF(#REF!="",#REF!,#REF!)&lt;TODAY(),2,IF(#REF!&gt;1,3,4))))</f>
        <v/>
      </c>
      <c r="N42" s="41">
        <f>IF(#REF!="",0,MONTH(#REF!))</f>
        <v/>
      </c>
      <c r="O42" s="42" t="n"/>
      <c r="P42" s="42" t="n"/>
      <c r="Q42" s="42" t="n"/>
      <c r="R42" s="42" t="n"/>
      <c r="S42" s="42" t="n"/>
      <c r="T42" s="42" t="n"/>
      <c r="U42" s="42" t="n"/>
      <c r="V42" s="42" t="n"/>
    </row>
    <row r="43" ht="13.5" customHeight="1" s="108">
      <c r="A43" s="32" t="n"/>
      <c r="B43" s="118" t="n"/>
      <c r="C43" s="120" t="n"/>
      <c r="D43" s="120" t="n"/>
      <c r="E43" s="120" t="n"/>
      <c r="F43" s="120" t="n"/>
      <c r="G43" s="120" t="n"/>
      <c r="H43" s="120" t="n"/>
      <c r="I43" s="120" t="n"/>
      <c r="J43" s="120" t="n"/>
      <c r="K43" s="120" t="n"/>
      <c r="L43" s="121" t="n"/>
      <c r="M43" s="40">
        <f>IF(#REF!="",0,IF(#REF!&gt;1,1,IF(IF(#REF!="",#REF!,#REF!)&lt;TODAY(),2,IF(#REF!&gt;1,3,4))))</f>
        <v/>
      </c>
      <c r="N43" s="41">
        <f>IF(#REF!="",0,MONTH(#REF!))</f>
        <v/>
      </c>
      <c r="O43" s="42" t="n"/>
      <c r="P43" s="42" t="n"/>
      <c r="Q43" s="42" t="n"/>
      <c r="R43" s="42" t="n"/>
      <c r="S43" s="42" t="n"/>
      <c r="T43" s="42" t="n"/>
      <c r="U43" s="42" t="n"/>
      <c r="V43" s="42" t="n"/>
    </row>
    <row r="44" ht="97.5" customHeight="1" s="108">
      <c r="A44" s="32" t="n"/>
      <c r="B44" s="118" t="n"/>
      <c r="C44" s="122" t="n"/>
      <c r="D44" s="122" t="n"/>
      <c r="E44" s="122" t="n"/>
      <c r="F44" s="122" t="n"/>
      <c r="G44" s="122" t="n"/>
      <c r="H44" s="122" t="n"/>
      <c r="I44" s="122" t="n"/>
      <c r="J44" s="122" t="n"/>
      <c r="K44" s="122" t="n"/>
      <c r="L44" s="123" t="n"/>
      <c r="M44" s="40">
        <f>IF(#REF!="",0,IF(#REF!&gt;1,1,IF(IF(#REF!="",#REF!,#REF!)&lt;TODAY(),2,IF(#REF!&gt;1,3,4))))</f>
        <v/>
      </c>
      <c r="N44" s="41">
        <f>IF(#REF!="",0,MONTH(#REF!))</f>
        <v/>
      </c>
      <c r="O44" s="42" t="n"/>
      <c r="P44" s="42" t="n"/>
      <c r="Q44" s="42" t="n"/>
      <c r="R44" s="42" t="n"/>
      <c r="S44" s="42" t="n"/>
      <c r="T44" s="42" t="n"/>
      <c r="U44" s="42" t="n"/>
      <c r="V44" s="42" t="n"/>
    </row>
    <row r="45" ht="135" customHeight="1" s="108">
      <c r="A45" s="32" t="n"/>
      <c r="B45" s="118" t="n"/>
      <c r="C45" s="45" t="n">
        <v>33</v>
      </c>
      <c r="D45" s="74" t="inlineStr">
        <is>
          <t>Estimular participação em eventos e inscrição dos trabalhos à prêmios</t>
        </is>
      </c>
      <c r="E45" s="46" t="inlineStr">
        <is>
          <t xml:space="preserve">Poucos prêmios obtidos por discentes e egressos </t>
        </is>
      </c>
      <c r="F45" s="37" t="inlineStr">
        <is>
          <t>Comissão de Acompanhamento Discente</t>
        </is>
      </c>
      <c r="G45" s="46" t="n"/>
      <c r="H45" s="46" t="n"/>
      <c r="I45" s="46" t="n"/>
      <c r="J45" s="46" t="n"/>
      <c r="K45" s="38" t="inlineStr">
        <is>
          <t>EM ANDAMENTO</t>
        </is>
      </c>
      <c r="L45" s="47" t="n"/>
      <c r="M45" s="40">
        <f>IF(#REF!="",0,IF(#REF!&gt;1,1,IF(IF(#REF!="",#REF!,#REF!)&lt;TODAY(),2,IF(#REF!&gt;1,3,4))))</f>
        <v/>
      </c>
      <c r="N45" s="41">
        <f>IF(#REF!="",0,MONTH(#REF!))</f>
        <v/>
      </c>
      <c r="O45" s="42" t="n"/>
      <c r="P45" s="42" t="n"/>
      <c r="Q45" s="42" t="n"/>
      <c r="R45" s="42" t="n"/>
      <c r="S45" s="42" t="n"/>
      <c r="T45" s="42" t="n"/>
      <c r="U45" s="42" t="n"/>
      <c r="V45" s="42" t="n"/>
    </row>
    <row r="46" ht="186.75" customHeight="1" s="108">
      <c r="A46" s="32" t="n"/>
      <c r="B46" s="118" t="n"/>
      <c r="C46" s="45" t="n">
        <v>34</v>
      </c>
      <c r="D46" s="74" t="inlineStr">
        <is>
          <t>Divulgar a avaliação do programa e das disciplinas por parte do docentes, discentes e egressos.</t>
        </is>
      </c>
      <c r="E46" s="46" t="inlineStr">
        <is>
          <t xml:space="preserve">Falta de divulgação de avaliação do programa e das disciplinas por parte do docentes, discentes e egressos </t>
        </is>
      </c>
      <c r="F46" s="37" t="inlineStr">
        <is>
          <t>Comissão de Acompanhamento Discente</t>
        </is>
      </c>
      <c r="G46" s="46" t="n"/>
      <c r="H46" s="46" t="n"/>
      <c r="I46" s="46" t="n"/>
      <c r="J46" s="46" t="n"/>
      <c r="K46" s="38" t="inlineStr">
        <is>
          <t>EM ANDAMENTO</t>
        </is>
      </c>
      <c r="L46" s="47" t="n"/>
      <c r="M46" s="40">
        <f>IF(#REF!="",0,IF(#REF!&gt;1,1,IF(IF(#REF!="",#REF!,#REF!)&lt;TODAY(),2,IF(#REF!&gt;1,3,4))))</f>
        <v/>
      </c>
      <c r="N46" s="41">
        <f>IF(#REF!="",0,MONTH(#REF!))</f>
        <v/>
      </c>
      <c r="O46" s="42" t="n"/>
      <c r="P46" s="42" t="n"/>
      <c r="Q46" s="42" t="n"/>
      <c r="R46" s="42" t="n"/>
      <c r="S46" s="42" t="n"/>
      <c r="T46" s="42" t="n"/>
      <c r="U46" s="42" t="n"/>
      <c r="V46" s="42" t="n"/>
    </row>
    <row r="47" ht="13.5" customHeight="1" s="108">
      <c r="A47" s="32" t="n"/>
      <c r="B47" s="118" t="n"/>
      <c r="C47" s="45" t="n">
        <v>35</v>
      </c>
      <c r="D47" s="74" t="inlineStr">
        <is>
          <t>Estimular a elaborar/vinculação dos projetos de pesquisa a instituições de educação básica</t>
        </is>
      </c>
      <c r="E47" s="46" t="inlineStr">
        <is>
          <t xml:space="preserve"> Projetos docentes para educação básica </t>
        </is>
      </c>
      <c r="F47" s="37" t="inlineStr">
        <is>
          <t>Comissão de Credenciamento e Acompanhamento Docente</t>
        </is>
      </c>
      <c r="G47" s="46" t="n"/>
      <c r="H47" s="46" t="n"/>
      <c r="I47" s="46" t="n"/>
      <c r="J47" s="46" t="n"/>
      <c r="K47" s="38" t="inlineStr">
        <is>
          <t>EM ANDAMENTO</t>
        </is>
      </c>
      <c r="L47" s="47" t="n"/>
      <c r="M47" s="40">
        <f>IF(#REF!="",0,IF(#REF!&gt;1,1,IF(IF(#REF!="",#REF!,#REF!)&lt;TODAY(),2,IF(#REF!&gt;1,3,4))))</f>
        <v/>
      </c>
      <c r="N47" s="41">
        <f>IF(#REF!="",0,MONTH(#REF!))</f>
        <v/>
      </c>
      <c r="O47" s="42" t="n"/>
      <c r="P47" s="42" t="n"/>
      <c r="Q47" s="42" t="n"/>
      <c r="R47" s="42" t="n"/>
      <c r="S47" s="42" t="n"/>
      <c r="T47" s="42" t="n"/>
      <c r="U47" s="42" t="n"/>
      <c r="V47" s="42" t="n"/>
    </row>
    <row r="48" ht="37.5" customHeight="1" s="108">
      <c r="A48" s="32" t="n"/>
      <c r="B48" s="118" t="n"/>
      <c r="C48" s="45" t="n">
        <v>36</v>
      </c>
      <c r="D48" s="74" t="inlineStr">
        <is>
          <t>Concorrer edital CAPES/Cofen</t>
        </is>
      </c>
      <c r="E48" s="46" t="inlineStr">
        <is>
          <t xml:space="preserve">Falta de recurso para confecção do produto </t>
        </is>
      </c>
      <c r="F48" s="37" t="inlineStr">
        <is>
          <t>Coordenação do MPEA</t>
        </is>
      </c>
      <c r="G48" s="46" t="n"/>
      <c r="H48" s="46" t="n"/>
      <c r="I48" s="46" t="n"/>
      <c r="J48" s="46" t="n"/>
      <c r="K48" s="38" t="inlineStr">
        <is>
          <t>EM ANDAMENTO</t>
        </is>
      </c>
      <c r="L48" s="47" t="n"/>
      <c r="M48" s="40">
        <f>IF(#REF!="",0,IF(#REF!&gt;1,1,IF(IF(#REF!="",#REF!,#REF!)&lt;TODAY(),2,IF(#REF!&gt;1,3,4))))</f>
        <v/>
      </c>
      <c r="N48" s="41">
        <f>IF(#REF!="",0,MONTH(#REF!))</f>
        <v/>
      </c>
      <c r="O48" s="42" t="n"/>
      <c r="P48" s="42" t="n"/>
      <c r="Q48" s="42" t="n"/>
      <c r="R48" s="42" t="n"/>
      <c r="S48" s="42" t="n"/>
      <c r="T48" s="42" t="n"/>
      <c r="U48" s="42" t="n"/>
      <c r="V48" s="42" t="n"/>
    </row>
    <row r="49" ht="13.5" customHeight="1" s="108">
      <c r="A49" s="32" t="n"/>
      <c r="B49" s="118" t="n"/>
      <c r="C49" s="45" t="n">
        <v>37</v>
      </c>
      <c r="D49" s="74" t="inlineStr">
        <is>
          <t>Estabelecer estratégias para a permanência dos docentes no Programa</t>
        </is>
      </c>
      <c r="E49" s="46" t="n"/>
      <c r="F49" s="37" t="inlineStr">
        <is>
          <t>Comissão de Credenciamento e Acompanhamento Docente</t>
        </is>
      </c>
      <c r="G49" s="46" t="n"/>
      <c r="H49" s="46" t="n"/>
      <c r="I49" s="46" t="n"/>
      <c r="J49" s="46" t="n"/>
      <c r="K49" s="38" t="inlineStr">
        <is>
          <t>EM ANDAMENTO</t>
        </is>
      </c>
      <c r="L49" s="47" t="n"/>
      <c r="M49" s="40" t="n"/>
      <c r="N49" s="41" t="n"/>
      <c r="O49" s="42" t="n"/>
      <c r="P49" s="42" t="n"/>
      <c r="Q49" s="42" t="n"/>
      <c r="R49" s="42" t="n"/>
      <c r="S49" s="42" t="n"/>
      <c r="T49" s="42" t="n"/>
      <c r="U49" s="42" t="n"/>
      <c r="V49" s="42" t="n"/>
    </row>
    <row r="50" ht="13.5" customHeight="1" s="108">
      <c r="A50" s="32" t="n"/>
      <c r="B50" s="118" t="n"/>
      <c r="C50" s="45" t="n">
        <v>38</v>
      </c>
      <c r="D50" s="74" t="inlineStr">
        <is>
          <t xml:space="preserve">Medida do fluxo discentes (número de entrada - de saída) </t>
        </is>
      </c>
      <c r="E50" s="46" t="inlineStr">
        <is>
          <t xml:space="preserve">QUALIDADE DAS DISSERTAÇÕES </t>
        </is>
      </c>
      <c r="F50" s="37" t="inlineStr">
        <is>
          <t>Comissão de Acompanhamento Discente</t>
        </is>
      </c>
      <c r="G50" s="46" t="n"/>
      <c r="H50" s="46" t="n"/>
      <c r="I50" s="46" t="n"/>
      <c r="J50" s="46" t="n"/>
      <c r="K50" s="38" t="inlineStr">
        <is>
          <t>EM ANDAMENTO</t>
        </is>
      </c>
      <c r="L50" s="47" t="n"/>
      <c r="M50" s="40">
        <f>IF(#REF!="",0,IF(#REF!&gt;1,1,IF(IF(#REF!="",#REF!,#REF!)&lt;TODAY(),2,IF(#REF!&gt;1,3,4))))</f>
        <v/>
      </c>
      <c r="N50" s="41">
        <f>IF(#REF!="",0,MONTH(#REF!))</f>
        <v/>
      </c>
      <c r="O50" s="42" t="n"/>
      <c r="P50" s="42" t="n"/>
      <c r="Q50" s="42" t="n"/>
      <c r="R50" s="42" t="n"/>
      <c r="S50" s="42" t="n"/>
      <c r="T50" s="42" t="n"/>
      <c r="U50" s="42" t="n"/>
      <c r="V50" s="42" t="n"/>
    </row>
    <row r="51" ht="13.5" customHeight="1" s="108">
      <c r="A51" s="32" t="n"/>
      <c r="B51" s="118" t="n"/>
      <c r="C51" s="45" t="n">
        <v>39</v>
      </c>
      <c r="D51" s="74" t="inlineStr">
        <is>
          <t>Estímulo a formação de discentes em língua estrangeira com certificação</t>
        </is>
      </c>
      <c r="E51" s="46" t="n"/>
      <c r="F51" s="37" t="inlineStr">
        <is>
          <t>Comissão de Acompanhamento Discente</t>
        </is>
      </c>
      <c r="G51" s="46" t="n"/>
      <c r="H51" s="46" t="n"/>
      <c r="I51" s="46" t="n"/>
      <c r="J51" s="46" t="n"/>
      <c r="K51" s="38" t="inlineStr">
        <is>
          <t>PENDENTE</t>
        </is>
      </c>
      <c r="L51" s="47" t="n"/>
      <c r="M51" s="40" t="n"/>
      <c r="N51" s="41" t="n"/>
      <c r="O51" s="42" t="n"/>
      <c r="P51" s="42" t="n"/>
      <c r="Q51" s="42" t="n"/>
      <c r="R51" s="42" t="n"/>
      <c r="S51" s="42" t="n"/>
      <c r="T51" s="42" t="n"/>
      <c r="U51" s="42" t="n"/>
      <c r="V51" s="42" t="n"/>
    </row>
    <row r="52" ht="13.5" customHeight="1" s="108">
      <c r="A52" s="32" t="n"/>
      <c r="B52" s="118" t="n"/>
      <c r="C52" s="45" t="n">
        <v>40</v>
      </c>
      <c r="D52" s="74" t="inlineStr">
        <is>
          <t>Maior mobilidade internacional de discentes</t>
        </is>
      </c>
      <c r="E52" s="46" t="n"/>
      <c r="F52" s="37" t="inlineStr">
        <is>
          <t>Coordenação do MPEA</t>
        </is>
      </c>
      <c r="G52" s="46" t="n"/>
      <c r="H52" s="46" t="n"/>
      <c r="I52" s="46" t="n"/>
      <c r="J52" s="46" t="n"/>
      <c r="K52" s="38" t="inlineStr">
        <is>
          <t>EM ANDAMENTO</t>
        </is>
      </c>
      <c r="L52" s="47" t="n"/>
      <c r="M52" s="40" t="n"/>
      <c r="N52" s="41" t="n"/>
      <c r="O52" s="42" t="n"/>
      <c r="P52" s="42" t="n"/>
      <c r="Q52" s="42" t="n"/>
      <c r="R52" s="42" t="n"/>
      <c r="S52" s="42" t="n"/>
      <c r="T52" s="42" t="n"/>
      <c r="U52" s="42" t="n"/>
      <c r="V52" s="42" t="n"/>
    </row>
    <row r="53" ht="13.5" customHeight="1" s="108">
      <c r="A53" s="32" t="n"/>
      <c r="B53" s="118" t="n"/>
      <c r="C53" s="45" t="n">
        <v>41</v>
      </c>
      <c r="D53" s="74" t="inlineStr">
        <is>
          <t>Medida da produção docente e docente/discente</t>
        </is>
      </c>
      <c r="E53" s="46" t="inlineStr">
        <is>
          <t xml:space="preserve">FALTA DE PRODUÇÃO BIBLIOGRÁFICA QUALIFICADA (QUALIS A) </t>
        </is>
      </c>
      <c r="F53" s="37" t="inlineStr">
        <is>
          <t>Comissão de Credenciamento e Acompanhamento Docente</t>
        </is>
      </c>
      <c r="G53" s="46" t="n"/>
      <c r="H53" s="46" t="n"/>
      <c r="I53" s="46" t="n"/>
      <c r="J53" s="46" t="n"/>
      <c r="K53" s="38" t="inlineStr">
        <is>
          <t>EM ANDAMENTO</t>
        </is>
      </c>
      <c r="L53" s="47" t="n"/>
      <c r="M53" s="40">
        <f>IF(#REF!="",0,IF(#REF!&gt;1,1,IF(IF(#REF!="",#REF!,#REF!)&lt;TODAY(),2,IF(#REF!&gt;1,3,4))))</f>
        <v/>
      </c>
      <c r="N53" s="41">
        <f>IF(#REF!="",0,MONTH(#REF!))</f>
        <v/>
      </c>
      <c r="O53" s="42" t="n"/>
      <c r="P53" s="42" t="n"/>
      <c r="Q53" s="42" t="n"/>
      <c r="R53" s="42" t="n"/>
      <c r="S53" s="42" t="n"/>
      <c r="T53" s="42" t="n"/>
      <c r="U53" s="42" t="n"/>
      <c r="V53" s="42" t="n"/>
    </row>
    <row r="54" ht="13.5" customHeight="1" s="108">
      <c r="A54" s="32" t="n"/>
      <c r="B54" s="124" t="inlineStr">
        <is>
          <t>E I X O     I M P A C T O</t>
        </is>
      </c>
      <c r="C54" s="35" t="n">
        <v>42</v>
      </c>
      <c r="D54" s="59" t="inlineStr">
        <is>
          <t>Medir o impacto dos  produtos das dissertações</t>
        </is>
      </c>
      <c r="E54" s="37" t="inlineStr">
        <is>
          <t xml:space="preserve">Potencial de impacto na avaliação do programa </t>
        </is>
      </c>
      <c r="F54" s="37" t="inlineStr">
        <is>
          <t>Comissão de Acompanhamento de Egressos</t>
        </is>
      </c>
      <c r="G54" s="37" t="n"/>
      <c r="H54" s="37" t="n"/>
      <c r="I54" s="37" t="n"/>
      <c r="J54" s="37" t="n"/>
      <c r="K54" s="38" t="inlineStr">
        <is>
          <t>EM ANDAMENTO</t>
        </is>
      </c>
      <c r="L54" s="39" t="n"/>
      <c r="M54" s="40">
        <f>IF(#REF!="",0,IF(#REF!&gt;1,1,IF(IF(#REF!="",#REF!,#REF!)&lt;TODAY(),2,IF(#REF!&gt;1,3,4))))</f>
        <v/>
      </c>
      <c r="N54" s="41">
        <f>IF(#REF!="",0,MONTH(#REF!))</f>
        <v/>
      </c>
      <c r="O54" s="42" t="n"/>
      <c r="P54" s="42" t="n"/>
      <c r="Q54" s="42" t="n"/>
      <c r="R54" s="42" t="n"/>
      <c r="S54" s="42" t="n"/>
      <c r="T54" s="42" t="n"/>
      <c r="U54" s="42" t="n"/>
      <c r="V54" s="42" t="n"/>
    </row>
    <row r="55" ht="139.5" customHeight="1" s="108">
      <c r="A55" s="32" t="n"/>
      <c r="B55" s="118" t="n"/>
      <c r="C55" s="60" t="n">
        <v>43</v>
      </c>
      <c r="D55" s="76" t="inlineStr">
        <is>
          <t>Acelerar a produção intelectual e técnica dos docentes recém credenciados</t>
        </is>
      </c>
      <c r="E55" s="61" t="n"/>
      <c r="F55" s="37" t="inlineStr">
        <is>
          <t>Comissão de Credenciamento e Acompanhamento Docente</t>
        </is>
      </c>
      <c r="G55" s="61" t="n"/>
      <c r="H55" s="61" t="n"/>
      <c r="I55" s="61" t="n"/>
      <c r="J55" s="61" t="n"/>
      <c r="K55" s="38" t="inlineStr">
        <is>
          <t>EM ANDAMENTO</t>
        </is>
      </c>
      <c r="L55" s="62" t="n"/>
      <c r="M55" s="40" t="n"/>
      <c r="N55" s="41" t="n"/>
      <c r="O55" s="42" t="n"/>
      <c r="P55" s="42" t="n"/>
      <c r="Q55" s="42" t="n"/>
      <c r="R55" s="42" t="n"/>
      <c r="S55" s="42" t="n"/>
      <c r="T55" s="42" t="n"/>
      <c r="U55" s="42" t="n"/>
      <c r="V55" s="42" t="n"/>
    </row>
    <row r="56" ht="139.5" customHeight="1" s="108">
      <c r="A56" s="32" t="n"/>
      <c r="B56" s="118" t="n"/>
      <c r="C56" s="60" t="n">
        <v>44</v>
      </c>
      <c r="D56" s="76" t="inlineStr">
        <is>
          <t xml:space="preserve">Estimular a produção dos docentes recém credenciados com os docentes permanentes </t>
        </is>
      </c>
      <c r="E56" s="61" t="n"/>
      <c r="F56" s="37" t="inlineStr">
        <is>
          <t>Comissão de Credenciamento e Acompanhamento Docente</t>
        </is>
      </c>
      <c r="G56" s="61" t="n"/>
      <c r="H56" s="61" t="n"/>
      <c r="I56" s="61" t="n"/>
      <c r="J56" s="61" t="n"/>
      <c r="K56" s="38" t="inlineStr">
        <is>
          <t>EM ANDAMENTO</t>
        </is>
      </c>
      <c r="L56" s="62" t="n"/>
      <c r="M56" s="40" t="n"/>
      <c r="N56" s="41" t="n"/>
      <c r="O56" s="42" t="n"/>
      <c r="P56" s="42" t="n"/>
      <c r="Q56" s="42" t="n"/>
      <c r="R56" s="42" t="n"/>
      <c r="S56" s="42" t="n"/>
      <c r="T56" s="42" t="n"/>
      <c r="U56" s="42" t="n"/>
      <c r="V56" s="42" t="n"/>
    </row>
    <row r="57" ht="139.5" customHeight="1" s="108">
      <c r="A57" s="32" t="n"/>
      <c r="B57" s="118" t="n"/>
      <c r="C57" s="45" t="n">
        <v>45</v>
      </c>
      <c r="D57" s="74" t="inlineStr">
        <is>
          <t>Ampliar a  Internacionalização dos alunos MPEA</t>
        </is>
      </c>
      <c r="E57" s="46" t="inlineStr">
        <is>
          <t xml:space="preserve">Estabelecer parcerias internacionais </t>
        </is>
      </c>
      <c r="F57" s="37" t="inlineStr">
        <is>
          <t>Comissão de Acompanhamento Discente</t>
        </is>
      </c>
      <c r="G57" s="46" t="n"/>
      <c r="H57" s="46" t="n"/>
      <c r="I57" s="46" t="n"/>
      <c r="J57" s="46" t="n"/>
      <c r="K57" s="38" t="inlineStr">
        <is>
          <t>EM ANDAMENTO</t>
        </is>
      </c>
      <c r="L57" s="47" t="n"/>
      <c r="M57" s="40">
        <f>IF(#REF!="",0,IF(#REF!&gt;1,1,IF(IF(#REF!="",#REF!,#REF!)&lt;TODAY(),2,IF(#REF!&gt;1,3,4))))</f>
        <v/>
      </c>
      <c r="N57" s="41">
        <f>IF(#REF!="",0,MONTH(#REF!))</f>
        <v/>
      </c>
      <c r="O57" s="42" t="n"/>
      <c r="P57" s="42" t="n"/>
      <c r="Q57" s="42" t="n"/>
      <c r="R57" s="42" t="n"/>
      <c r="S57" s="42" t="n"/>
      <c r="T57" s="42" t="n"/>
      <c r="U57" s="42" t="n"/>
      <c r="V57" s="42" t="n"/>
    </row>
    <row r="58" ht="117.75" customHeight="1" s="108">
      <c r="A58" s="32" t="n"/>
      <c r="B58" s="118" t="n"/>
      <c r="C58" s="45" t="n">
        <v>46</v>
      </c>
      <c r="D58" s="74" t="inlineStr">
        <is>
          <t>Estimular a visita internacional para todos os docentes do programa</t>
        </is>
      </c>
      <c r="E58" s="46" t="n"/>
      <c r="F58" s="37" t="inlineStr">
        <is>
          <t>Coordenação do MPEA</t>
        </is>
      </c>
      <c r="G58" s="46" t="n"/>
      <c r="H58" s="46" t="n"/>
      <c r="I58" s="46" t="n"/>
      <c r="J58" s="46" t="n"/>
      <c r="K58" s="38" t="inlineStr">
        <is>
          <t>EM ANDAMENTO</t>
        </is>
      </c>
      <c r="L58" s="47" t="n"/>
      <c r="M58" s="40" t="n"/>
      <c r="N58" s="41" t="n"/>
      <c r="O58" s="42" t="n"/>
      <c r="P58" s="42" t="n"/>
      <c r="Q58" s="42" t="n"/>
      <c r="R58" s="42" t="n"/>
      <c r="S58" s="42" t="n"/>
      <c r="T58" s="42" t="n"/>
      <c r="U58" s="42" t="n"/>
      <c r="V58" s="42" t="n"/>
    </row>
    <row r="59" ht="117.75" customHeight="1" s="108">
      <c r="A59" s="32" t="n"/>
      <c r="B59" s="118" t="n"/>
      <c r="C59" s="45" t="n">
        <v>47</v>
      </c>
      <c r="D59" s="74" t="inlineStr">
        <is>
          <t>Ampliar a  Internacionalização dos docentes MPEA</t>
        </is>
      </c>
      <c r="E59" s="46" t="inlineStr">
        <is>
          <t>Fortalecer parcerias internacionais</t>
        </is>
      </c>
      <c r="F59" s="37" t="inlineStr">
        <is>
          <t>Comissão de Credenciamento e Acompanhamento Docente</t>
        </is>
      </c>
      <c r="G59" s="46" t="n"/>
      <c r="H59" s="46" t="n"/>
      <c r="I59" s="46" t="n"/>
      <c r="J59" s="46" t="n"/>
      <c r="K59" s="38" t="inlineStr">
        <is>
          <t>EM ANDAMENTO</t>
        </is>
      </c>
      <c r="L59" s="47" t="n"/>
      <c r="M59" s="40">
        <f>IF(#REF!="",0,IF(#REF!&gt;1,1,IF(IF(#REF!="",#REF!,#REF!)&lt;TODAY(),2,IF(#REF!&gt;1,3,4))))</f>
        <v/>
      </c>
      <c r="N59" s="41">
        <f>IF(#REF!="",0,MONTH(#REF!))</f>
        <v/>
      </c>
      <c r="O59" s="42" t="n"/>
      <c r="P59" s="42" t="n"/>
      <c r="Q59" s="42" t="n"/>
      <c r="R59" s="42" t="n"/>
      <c r="S59" s="42" t="n"/>
      <c r="T59" s="42" t="n"/>
      <c r="U59" s="42" t="n"/>
      <c r="V59" s="42" t="n"/>
    </row>
    <row r="60" ht="13.5" customHeight="1" s="108">
      <c r="A60" s="32" t="n"/>
      <c r="B60" s="118" t="n"/>
      <c r="C60" s="45" t="n">
        <v>48</v>
      </c>
      <c r="D60" s="74" t="inlineStr">
        <is>
          <t xml:space="preserve">Monitorar a visibilidade do programa </t>
        </is>
      </c>
      <c r="E60" s="46" t="inlineStr">
        <is>
          <t>avaliar o impacto da visibilidade do programa</t>
        </is>
      </c>
      <c r="F60" s="37" t="inlineStr">
        <is>
          <t>Comissão de Visibilidade</t>
        </is>
      </c>
      <c r="G60" s="46" t="n"/>
      <c r="H60" s="46" t="n"/>
      <c r="I60" s="46" t="n"/>
      <c r="J60" s="46" t="n"/>
      <c r="K60" s="38" t="inlineStr">
        <is>
          <t>EM ANDAMENTO</t>
        </is>
      </c>
      <c r="L60" s="47" t="n"/>
      <c r="M60" s="40">
        <f>IF(#REF!="",0,IF(#REF!&gt;1,1,IF(IF(#REF!="",#REF!,#REF!)&lt;TODAY(),2,IF(#REF!&gt;1,3,4))))</f>
        <v/>
      </c>
      <c r="N60" s="41">
        <f>IF(#REF!="",0,MONTH(#REF!))</f>
        <v/>
      </c>
      <c r="O60" s="42" t="n"/>
      <c r="P60" s="42" t="n"/>
      <c r="Q60" s="42" t="n"/>
      <c r="R60" s="42" t="n"/>
      <c r="S60" s="42" t="n"/>
      <c r="T60" s="42" t="n"/>
      <c r="U60" s="42" t="n"/>
      <c r="V60" s="42" t="n"/>
    </row>
    <row r="61" ht="13.5" customHeight="1" s="108">
      <c r="A61" s="32" t="n"/>
      <c r="B61" s="118" t="n"/>
      <c r="C61" s="45" t="n">
        <v>49</v>
      </c>
      <c r="D61" s="74" t="inlineStr">
        <is>
          <t xml:space="preserve">Monitorar o impacto do Financiamento </t>
        </is>
      </c>
      <c r="E61" s="46" t="inlineStr">
        <is>
          <t>Internacionalização do docente e aluno; Divulgação e operacionalização de produtos e projetos</t>
        </is>
      </c>
      <c r="F61" s="37" t="inlineStr">
        <is>
          <t>Coordenação do MPEA</t>
        </is>
      </c>
      <c r="G61" s="46" t="n"/>
      <c r="H61" s="46" t="n"/>
      <c r="I61" s="46" t="n"/>
      <c r="J61" s="46" t="n"/>
      <c r="K61" s="38" t="inlineStr">
        <is>
          <t>EM ANDAMENTO</t>
        </is>
      </c>
      <c r="L61" s="47" t="n"/>
      <c r="M61" s="40">
        <f>IF(#REF!="",0,IF(#REF!&gt;1,1,IF(IF(#REF!="",#REF!,#REF!)&lt;TODAY(),2,IF(#REF!&gt;1,3,4))))</f>
        <v/>
      </c>
      <c r="N61" s="41">
        <f>IF(#REF!="",0,MONTH(#REF!))</f>
        <v/>
      </c>
      <c r="O61" s="42" t="n"/>
      <c r="P61" s="42" t="n"/>
      <c r="Q61" s="42" t="n"/>
      <c r="R61" s="42" t="n"/>
      <c r="S61" s="42" t="n"/>
      <c r="T61" s="42" t="n"/>
      <c r="U61" s="42" t="n"/>
      <c r="V61" s="42" t="n"/>
    </row>
    <row r="62" ht="122.25" customHeight="1" s="108">
      <c r="A62" s="32" t="n"/>
      <c r="B62" s="118" t="n"/>
      <c r="C62" s="45" t="n">
        <v>50</v>
      </c>
      <c r="D62" s="74" t="inlineStr">
        <is>
          <t>Avaliar o impacto dos programas de articulação com ensino técnico....</t>
        </is>
      </c>
      <c r="E62" s="46" t="inlineStr">
        <is>
          <t>Políticas para melhoria da saúde na  ensino técnico</t>
        </is>
      </c>
      <c r="F62" s="37" t="inlineStr">
        <is>
          <t>Coordenação do MPEA</t>
        </is>
      </c>
      <c r="G62" s="46" t="n"/>
      <c r="H62" s="46" t="n"/>
      <c r="I62" s="46" t="n"/>
      <c r="J62" s="46" t="n"/>
      <c r="K62" s="38" t="inlineStr">
        <is>
          <t>EM ANDAMENTO</t>
        </is>
      </c>
      <c r="L62" s="47" t="n"/>
      <c r="M62" s="40">
        <f>IF(#REF!="",0,IF(#REF!&gt;1,1,IF(IF(#REF!="",#REF!,#REF!)&lt;TODAY(),2,IF(#REF!&gt;1,3,4))))</f>
        <v/>
      </c>
      <c r="N62" s="41">
        <f>IF(#REF!="",0,MONTH(#REF!))</f>
        <v/>
      </c>
      <c r="O62" s="42" t="n"/>
      <c r="P62" s="42" t="n"/>
      <c r="Q62" s="42" t="n"/>
      <c r="R62" s="42" t="n"/>
      <c r="S62" s="42" t="n"/>
      <c r="T62" s="42" t="n"/>
      <c r="U62" s="42" t="n"/>
      <c r="V62" s="42" t="n"/>
    </row>
    <row r="63" ht="76.5" customHeight="1" s="108">
      <c r="A63" s="32" t="n"/>
      <c r="B63" s="118" t="n"/>
      <c r="C63" s="45" t="n">
        <v>51</v>
      </c>
      <c r="D63" s="74" t="inlineStr">
        <is>
          <t>Melhorar o índice de docentes atuantes na atenção primária</t>
        </is>
      </c>
      <c r="E63" s="46" t="n"/>
      <c r="F63" s="37" t="inlineStr">
        <is>
          <t>Comissão de Credenciamento e Acompanhamento Docente</t>
        </is>
      </c>
      <c r="G63" s="46" t="n"/>
      <c r="H63" s="46" t="n"/>
      <c r="I63" s="46" t="n"/>
      <c r="J63" s="46" t="n"/>
      <c r="K63" s="38" t="n"/>
      <c r="L63" s="47" t="n"/>
      <c r="M63" s="40" t="n"/>
      <c r="N63" s="41" t="n"/>
      <c r="O63" s="42" t="n"/>
      <c r="P63" s="42" t="n"/>
      <c r="Q63" s="42" t="n"/>
      <c r="R63" s="42" t="n"/>
      <c r="S63" s="42" t="n"/>
      <c r="T63" s="42" t="n"/>
      <c r="U63" s="42" t="n"/>
      <c r="V63" s="42" t="n"/>
    </row>
    <row r="64" ht="76.5" customHeight="1" s="108">
      <c r="A64" s="32" t="n"/>
      <c r="B64" s="118" t="n"/>
      <c r="C64" s="45" t="n">
        <v>52</v>
      </c>
      <c r="D64" s="74" t="inlineStr">
        <is>
          <t>Monitorar o impacto das 5 melhores dissertações e das 5 melhores produções técnicas escolhidas pelo programa</t>
        </is>
      </c>
      <c r="E64" s="46" t="inlineStr">
        <is>
          <t>Atender aos critérios da CAPES</t>
        </is>
      </c>
      <c r="F64" s="37" t="inlineStr">
        <is>
          <t>Comissão de Acompanhamento de Egressos</t>
        </is>
      </c>
      <c r="G64" s="46" t="n"/>
      <c r="H64" s="46" t="n"/>
      <c r="I64" s="46" t="n"/>
      <c r="J64" s="46" t="n"/>
      <c r="K64" s="38" t="inlineStr">
        <is>
          <t>EM ANDAMENTO</t>
        </is>
      </c>
      <c r="L64" s="47" t="n"/>
      <c r="M64" s="40">
        <f>IF(#REF!="",0,IF(#REF!&gt;1,1,IF(IF(#REF!="",#REF!,#REF!)&lt;TODAY(),2,IF(#REF!&gt;1,3,4))))</f>
        <v/>
      </c>
      <c r="N64" s="41">
        <f>IF(#REF!="",0,MONTH(#REF!))</f>
        <v/>
      </c>
      <c r="O64" s="42" t="n"/>
      <c r="P64" s="42" t="n"/>
      <c r="Q64" s="42" t="n"/>
      <c r="R64" s="42" t="n"/>
      <c r="S64" s="42" t="n"/>
      <c r="T64" s="42" t="n"/>
      <c r="U64" s="42" t="n"/>
      <c r="V64" s="42" t="n"/>
    </row>
    <row r="65" ht="50.25" customHeight="1" s="108">
      <c r="A65" s="32" t="n"/>
      <c r="B65" s="118" t="n"/>
      <c r="C65" s="45" t="n">
        <v>53</v>
      </c>
      <c r="D65" s="74" t="inlineStr">
        <is>
          <t>Avaliar o impacto  social das dissertações</t>
        </is>
      </c>
      <c r="E65" s="46" t="inlineStr">
        <is>
          <t>Impacto social</t>
        </is>
      </c>
      <c r="F65" s="37" t="inlineStr">
        <is>
          <t>Comissão de Acompanhamento de Egressos</t>
        </is>
      </c>
      <c r="G65" s="46" t="n"/>
      <c r="H65" s="46" t="n"/>
      <c r="I65" s="46" t="n"/>
      <c r="J65" s="46" t="n"/>
      <c r="K65" s="38" t="inlineStr">
        <is>
          <t>EM ANDAMENTO</t>
        </is>
      </c>
      <c r="L65" s="47" t="n"/>
      <c r="M65" s="40">
        <f>IF(#REF!="",0,IF(#REF!&gt;1,1,IF(IF(#REF!="",#REF!,#REF!)&lt;TODAY(),2,IF(#REF!&gt;1,3,4))))</f>
        <v/>
      </c>
      <c r="N65" s="41">
        <f>IF(#REF!="",0,MONTH(#REF!))</f>
        <v/>
      </c>
      <c r="O65" s="42" t="n"/>
      <c r="P65" s="42" t="n"/>
      <c r="Q65" s="42" t="n"/>
      <c r="R65" s="42" t="n"/>
      <c r="S65" s="42" t="n"/>
      <c r="T65" s="42" t="n"/>
      <c r="U65" s="42" t="n"/>
      <c r="V65" s="42" t="n"/>
    </row>
    <row r="66" ht="81.75" customHeight="1" s="108">
      <c r="A66" s="32" t="n"/>
      <c r="B66" s="118" t="n"/>
      <c r="C66" s="45" t="n">
        <v>54</v>
      </c>
      <c r="D66" s="74" t="inlineStr">
        <is>
          <t>Avaliar o impacto da transferência  dos conhecimentos na sociedade</t>
        </is>
      </c>
      <c r="E66" s="46" t="inlineStr">
        <is>
          <t>Adotar a metodologia do implementation science</t>
        </is>
      </c>
      <c r="F66" s="37" t="inlineStr">
        <is>
          <t>Comissão de Acompanhamento de Egressos</t>
        </is>
      </c>
      <c r="G66" s="46" t="n"/>
      <c r="H66" s="46" t="n"/>
      <c r="I66" s="46" t="n"/>
      <c r="J66" s="46" t="n"/>
      <c r="K66" s="38" t="inlineStr">
        <is>
          <t>EM ANDAMENTO</t>
        </is>
      </c>
      <c r="L66" s="47" t="n"/>
      <c r="M66" s="40">
        <f>IF(#REF!="",0,IF(#REF!&gt;1,1,IF(IF(#REF!="",#REF!,#REF!)&lt;TODAY(),2,IF(#REF!&gt;1,3,4))))</f>
        <v/>
      </c>
      <c r="N66" s="41">
        <f>IF(#REF!="",0,MONTH(#REF!))</f>
        <v/>
      </c>
      <c r="O66" s="42" t="n"/>
      <c r="P66" s="42" t="n"/>
      <c r="Q66" s="42" t="n"/>
      <c r="R66" s="42" t="n"/>
      <c r="S66" s="42" t="n"/>
      <c r="T66" s="42" t="n"/>
      <c r="U66" s="42" t="n"/>
      <c r="V66" s="42" t="n"/>
    </row>
    <row r="67" ht="56.25" customHeight="1" s="108">
      <c r="A67" s="32" t="n"/>
      <c r="B67" s="118" t="n"/>
      <c r="C67" s="51" t="n">
        <v>55</v>
      </c>
      <c r="D67" s="57" t="inlineStr">
        <is>
          <t>Impacto da internacionalização do docente</t>
        </is>
      </c>
      <c r="E67" s="52" t="inlineStr">
        <is>
          <t>Avaliar ações de internacionalização dos docentes</t>
        </is>
      </c>
      <c r="F67" s="37" t="inlineStr">
        <is>
          <t>Comissão de Credenciamento e Acompanhamento Docente</t>
        </is>
      </c>
      <c r="G67" s="52" t="n"/>
      <c r="H67" s="80" t="n"/>
      <c r="I67" s="52" t="n"/>
      <c r="J67" s="52" t="n"/>
      <c r="K67" s="38" t="inlineStr">
        <is>
          <t>EM ANDAMENTO</t>
        </is>
      </c>
      <c r="L67" s="53" t="n"/>
      <c r="M67" s="40" t="n"/>
      <c r="N67" s="41" t="n"/>
      <c r="O67" s="42" t="n"/>
      <c r="P67" s="42" t="n"/>
      <c r="Q67" s="42" t="n"/>
      <c r="R67" s="42" t="n"/>
      <c r="S67" s="42" t="n"/>
      <c r="T67" s="42" t="n"/>
      <c r="U67" s="42" t="n"/>
      <c r="V67" s="42" t="n"/>
    </row>
    <row r="68" ht="53.25" customHeight="1" s="108">
      <c r="A68" s="32" t="n"/>
      <c r="B68" s="118" t="n"/>
      <c r="C68" s="64" t="n">
        <v>56</v>
      </c>
      <c r="D68" s="77" t="inlineStr">
        <is>
          <t>Participação dos docentes e discentes em eventos internacionais</t>
        </is>
      </c>
      <c r="E68" s="80" t="n"/>
      <c r="F68" s="37" t="inlineStr">
        <is>
          <t>Comissão de Visibilidade</t>
        </is>
      </c>
      <c r="G68" s="80" t="n"/>
      <c r="H68" s="80" t="n"/>
      <c r="I68" s="80" t="n"/>
      <c r="J68" s="80" t="n"/>
      <c r="K68" s="38" t="inlineStr">
        <is>
          <t>EM ANDAMENTO</t>
        </is>
      </c>
      <c r="L68" s="78" t="n"/>
      <c r="M68" s="40" t="n"/>
      <c r="N68" s="41" t="n"/>
      <c r="O68" s="42" t="n"/>
      <c r="P68" s="42" t="n"/>
      <c r="Q68" s="42" t="n"/>
      <c r="R68" s="42" t="n"/>
      <c r="S68" s="42" t="n"/>
      <c r="T68" s="42" t="n"/>
      <c r="U68" s="42" t="n"/>
      <c r="V68" s="42" t="n"/>
    </row>
    <row r="69" ht="53.25" customHeight="1" s="108">
      <c r="A69" s="32" t="n"/>
      <c r="B69" s="118" t="n"/>
      <c r="C69" s="64" t="n">
        <v>57</v>
      </c>
      <c r="D69" s="77" t="inlineStr">
        <is>
          <t>Publicação dos produtos em outros idiomas</t>
        </is>
      </c>
      <c r="E69" s="80" t="n"/>
      <c r="F69" s="37" t="inlineStr">
        <is>
          <t>Comissão de Acompanhamento Discente</t>
        </is>
      </c>
      <c r="G69" s="80" t="n"/>
      <c r="H69" s="80" t="n"/>
      <c r="I69" s="80" t="n"/>
      <c r="J69" s="80" t="n"/>
      <c r="K69" s="38" t="inlineStr">
        <is>
          <t>EM ANDAMENTO</t>
        </is>
      </c>
      <c r="L69" s="78" t="n"/>
      <c r="M69" s="40" t="n"/>
      <c r="N69" s="41" t="n"/>
      <c r="O69" s="42" t="n"/>
      <c r="P69" s="42" t="n"/>
      <c r="Q69" s="42" t="n"/>
      <c r="R69" s="42" t="n"/>
      <c r="S69" s="42" t="n"/>
      <c r="T69" s="42" t="n"/>
      <c r="U69" s="42" t="n"/>
      <c r="V69" s="42" t="n"/>
    </row>
    <row r="70" ht="53.25" customHeight="1" s="108">
      <c r="A70" s="32" t="n"/>
      <c r="B70" s="118" t="n"/>
      <c r="C70" s="64" t="n">
        <v>58</v>
      </c>
      <c r="D70" s="79" t="inlineStr">
        <is>
          <t>Implementar os produtos e processos das teses e dissertações</t>
        </is>
      </c>
      <c r="E70" s="80" t="n"/>
      <c r="F70" s="37" t="inlineStr">
        <is>
          <t>Comissão de Acompanhamento Discente</t>
        </is>
      </c>
      <c r="G70" s="80" t="n"/>
      <c r="H70" s="80" t="n"/>
      <c r="I70" s="80" t="n"/>
      <c r="J70" s="80" t="n"/>
      <c r="K70" s="38" t="inlineStr">
        <is>
          <t>EM ANDAMENTO</t>
        </is>
      </c>
      <c r="L70" s="78" t="n"/>
      <c r="M70" s="40" t="n"/>
      <c r="N70" s="41" t="n"/>
      <c r="O70" s="42" t="n"/>
      <c r="P70" s="42" t="n"/>
      <c r="Q70" s="42" t="n"/>
      <c r="R70" s="42" t="n"/>
      <c r="S70" s="42" t="n"/>
      <c r="T70" s="42" t="n"/>
      <c r="U70" s="42" t="n"/>
      <c r="V70" s="42" t="n"/>
    </row>
    <row r="71" ht="53.25" customHeight="1" s="108">
      <c r="A71" s="32" t="n"/>
      <c r="B71" s="118" t="n"/>
      <c r="C71" s="64" t="n">
        <v>59</v>
      </c>
      <c r="D71" s="77" t="inlineStr">
        <is>
          <t>Incentivar publicação do docente com o egresso</t>
        </is>
      </c>
      <c r="E71" s="80" t="n"/>
      <c r="F71" s="37" t="inlineStr">
        <is>
          <t>Comissão de Acompanhamento Discente</t>
        </is>
      </c>
      <c r="G71" s="80" t="n"/>
      <c r="H71" s="80" t="n"/>
      <c r="I71" s="80" t="n"/>
      <c r="J71" s="80" t="n"/>
      <c r="K71" s="38" t="inlineStr">
        <is>
          <t>EM ANDAMENTO</t>
        </is>
      </c>
      <c r="L71" s="78" t="n"/>
      <c r="M71" s="40" t="n"/>
      <c r="N71" s="41" t="n"/>
      <c r="O71" s="42" t="n"/>
      <c r="P71" s="42" t="n"/>
      <c r="Q71" s="42" t="n"/>
      <c r="R71" s="42" t="n"/>
      <c r="S71" s="42" t="n"/>
      <c r="T71" s="42" t="n"/>
      <c r="U71" s="42" t="n"/>
      <c r="V71" s="42" t="n"/>
    </row>
    <row r="72" ht="53.25" customHeight="1" s="108">
      <c r="A72" s="32" t="n"/>
      <c r="B72" s="118" t="n"/>
      <c r="C72" s="64" t="n">
        <v>60</v>
      </c>
      <c r="D72" s="77" t="inlineStr">
        <is>
          <t>Elaboração de produtos que possam ter escopo ampliado</t>
        </is>
      </c>
      <c r="E72" s="80" t="n"/>
      <c r="F72" s="37" t="inlineStr">
        <is>
          <t>Comissão de Acompanhamento Discente</t>
        </is>
      </c>
      <c r="G72" s="80" t="n"/>
      <c r="H72" s="80" t="n"/>
      <c r="I72" s="80" t="n"/>
      <c r="J72" s="80" t="n"/>
      <c r="K72" s="38" t="inlineStr">
        <is>
          <t>EM ANDAMENTO</t>
        </is>
      </c>
      <c r="L72" s="78" t="n"/>
      <c r="M72" s="40" t="n"/>
      <c r="N72" s="41" t="n"/>
      <c r="O72" s="42" t="n"/>
      <c r="P72" s="42" t="n"/>
      <c r="Q72" s="42" t="n"/>
      <c r="R72" s="42" t="n"/>
      <c r="S72" s="42" t="n"/>
      <c r="T72" s="42" t="n"/>
      <c r="U72" s="42" t="n"/>
      <c r="V72" s="42" t="n"/>
    </row>
    <row r="73" ht="53.25" customHeight="1" s="108">
      <c r="A73" s="32" t="n"/>
      <c r="B73" s="118" t="n"/>
      <c r="C73" s="64" t="n">
        <v>61</v>
      </c>
      <c r="D73" s="77" t="inlineStr">
        <is>
          <t>Estímulo a implementação dos produtos desenvolvidos</t>
        </is>
      </c>
      <c r="E73" s="80" t="n"/>
      <c r="F73" s="37" t="inlineStr">
        <is>
          <t>Comissão de Acompanhamento Discente</t>
        </is>
      </c>
      <c r="G73" s="80" t="n"/>
      <c r="H73" s="80" t="n"/>
      <c r="I73" s="80" t="n"/>
      <c r="J73" s="80" t="n"/>
      <c r="K73" s="38" t="inlineStr">
        <is>
          <t>PENDENTE</t>
        </is>
      </c>
      <c r="L73" s="78" t="n"/>
      <c r="M73" s="40" t="n"/>
      <c r="N73" s="41" t="n"/>
      <c r="O73" s="42" t="n"/>
      <c r="P73" s="42" t="n"/>
      <c r="Q73" s="42" t="n"/>
      <c r="R73" s="42" t="n"/>
      <c r="S73" s="42" t="n"/>
      <c r="T73" s="42" t="n"/>
      <c r="U73" s="42" t="n"/>
      <c r="V73" s="42" t="n"/>
    </row>
    <row r="74" ht="53.25" customHeight="1" s="108">
      <c r="A74" s="32" t="n"/>
      <c r="B74" s="118" t="n"/>
      <c r="C74" s="64" t="n">
        <v>62</v>
      </c>
      <c r="D74" s="77" t="inlineStr">
        <is>
          <t>Estimular o desenvolvimento de produtos com identidade profissional e inserção social</t>
        </is>
      </c>
      <c r="E74" s="80" t="n"/>
      <c r="F74" s="37" t="inlineStr">
        <is>
          <t>Comissão de Acompanhamento Discente</t>
        </is>
      </c>
      <c r="G74" s="80" t="n"/>
      <c r="H74" s="80" t="n"/>
      <c r="I74" s="80" t="n"/>
      <c r="J74" s="80" t="n"/>
      <c r="K74" s="38" t="inlineStr">
        <is>
          <t>EM ANDAMENTO</t>
        </is>
      </c>
      <c r="L74" s="78" t="n"/>
      <c r="M74" s="40" t="n"/>
      <c r="N74" s="41" t="n"/>
      <c r="O74" s="42" t="n"/>
      <c r="P74" s="42" t="n"/>
      <c r="Q74" s="42" t="n"/>
      <c r="R74" s="42" t="n"/>
      <c r="S74" s="42" t="n"/>
      <c r="T74" s="42" t="n"/>
      <c r="U74" s="42" t="n"/>
      <c r="V74" s="42" t="n"/>
    </row>
    <row r="75" ht="69" customHeight="1" s="108">
      <c r="A75" s="32" t="n"/>
      <c r="B75" s="118" t="n"/>
      <c r="C75" s="64" t="n">
        <v>63</v>
      </c>
      <c r="D75" s="77" t="inlineStr">
        <is>
          <t>Estimular a submissão de projetos para editais relacionados a políticas inclusivas de ações na educação técnica ou básica associado a disciplina de estágio a docência</t>
        </is>
      </c>
      <c r="E75" s="80" t="n"/>
      <c r="F75" s="37" t="inlineStr">
        <is>
          <t>Comissão de Credenciamento e Acompanhamento Docente</t>
        </is>
      </c>
      <c r="G75" s="80" t="n"/>
      <c r="H75" s="80" t="n"/>
      <c r="I75" s="80" t="n"/>
      <c r="J75" s="80" t="n"/>
      <c r="K75" s="38" t="inlineStr">
        <is>
          <t>EM ANDAMENTO</t>
        </is>
      </c>
      <c r="L75" s="78" t="n"/>
      <c r="M75" s="40" t="n"/>
      <c r="N75" s="41" t="n"/>
      <c r="O75" s="42" t="n"/>
      <c r="P75" s="42" t="n"/>
      <c r="Q75" s="42" t="n"/>
      <c r="R75" s="42" t="n"/>
      <c r="S75" s="42" t="n"/>
      <c r="T75" s="42" t="n"/>
      <c r="U75" s="42" t="n"/>
      <c r="V75" s="42" t="n"/>
    </row>
    <row r="76" ht="61.5" customHeight="1" s="108">
      <c r="A76" s="32" t="n"/>
      <c r="B76" s="118" t="n"/>
      <c r="C76" s="64" t="n">
        <v>64</v>
      </c>
      <c r="D76" s="77" t="inlineStr">
        <is>
          <t>Incentivar o corpo docente da Universidade fora de sede para montar o programa próprio</t>
        </is>
      </c>
      <c r="E76" s="80" t="n"/>
      <c r="F76" s="37" t="inlineStr">
        <is>
          <t>Comissão de Credenciamento e Acompanhamento Docente</t>
        </is>
      </c>
      <c r="G76" s="80" t="n"/>
      <c r="H76" s="80" t="n"/>
      <c r="I76" s="80" t="n"/>
      <c r="J76" s="80" t="n"/>
      <c r="K76" s="38" t="inlineStr">
        <is>
          <t>EM ANDAMENTO</t>
        </is>
      </c>
      <c r="L76" s="78" t="n"/>
      <c r="M76" s="40" t="n"/>
      <c r="N76" s="41" t="n"/>
      <c r="O76" s="42" t="n"/>
      <c r="P76" s="42" t="n"/>
      <c r="Q76" s="42" t="n"/>
      <c r="R76" s="42" t="n"/>
      <c r="S76" s="42" t="n"/>
      <c r="T76" s="42" t="n"/>
      <c r="U76" s="42" t="n"/>
      <c r="V76" s="42" t="n"/>
    </row>
    <row r="77" ht="53.25" customHeight="1" s="108">
      <c r="A77" s="32" t="n"/>
      <c r="B77" s="118" t="n"/>
      <c r="C77" s="64" t="n">
        <v>65</v>
      </c>
      <c r="D77" s="77" t="inlineStr">
        <is>
          <t>Criar repositório/site de produtos técnicos do MPEA</t>
        </is>
      </c>
      <c r="E77" s="80" t="n"/>
      <c r="F77" s="37" t="inlineStr">
        <is>
          <t>Comissão de Acompanhamento Discente</t>
        </is>
      </c>
      <c r="G77" s="80" t="n"/>
      <c r="H77" s="80" t="n"/>
      <c r="I77" s="80" t="n"/>
      <c r="J77" s="80" t="n"/>
      <c r="K77" s="38" t="inlineStr">
        <is>
          <t>EM ANDAMENTO</t>
        </is>
      </c>
      <c r="L77" s="78" t="n"/>
      <c r="M77" s="40" t="n"/>
      <c r="N77" s="41" t="n"/>
      <c r="O77" s="42" t="n"/>
      <c r="P77" s="42" t="n"/>
      <c r="Q77" s="42" t="n"/>
      <c r="R77" s="42" t="n"/>
      <c r="S77" s="42" t="n"/>
      <c r="T77" s="42" t="n"/>
      <c r="U77" s="42" t="n"/>
      <c r="V77" s="42" t="n"/>
    </row>
    <row r="78" ht="53.25" customHeight="1" s="108">
      <c r="A78" s="32" t="n"/>
      <c r="B78" s="118" t="n"/>
      <c r="C78" s="64" t="n">
        <v>66</v>
      </c>
      <c r="D78" s="77" t="inlineStr">
        <is>
          <t>Buscar fomentos em diversas instâncias nacionais e internacionais, governamentais e não governamentais</t>
        </is>
      </c>
      <c r="E78" s="80" t="n"/>
      <c r="F78" s="37" t="inlineStr">
        <is>
          <t>Coordenação do MPEA</t>
        </is>
      </c>
      <c r="G78" s="80" t="n"/>
      <c r="H78" s="80" t="n"/>
      <c r="I78" s="80" t="n"/>
      <c r="J78" s="80" t="n"/>
      <c r="K78" s="38" t="inlineStr">
        <is>
          <t>EM ANDAMENTO</t>
        </is>
      </c>
      <c r="L78" s="78" t="n"/>
      <c r="M78" s="40" t="n"/>
      <c r="N78" s="41" t="n"/>
      <c r="O78" s="42" t="n"/>
      <c r="P78" s="42" t="n"/>
      <c r="Q78" s="42" t="n"/>
      <c r="R78" s="42" t="n"/>
      <c r="S78" s="42" t="n"/>
      <c r="T78" s="42" t="n"/>
      <c r="U78" s="42" t="n"/>
      <c r="V78" s="42" t="n"/>
    </row>
    <row r="79" ht="53.25" customHeight="1" s="108">
      <c r="A79" s="32" t="n"/>
      <c r="B79" s="118" t="n"/>
      <c r="C79" s="64" t="n">
        <v>67</v>
      </c>
      <c r="D79" s="77" t="inlineStr">
        <is>
          <t>Incentivar a educação docente e discente para o aprendizado de idiomas, com certificações periódicas internacionais</t>
        </is>
      </c>
      <c r="E79" s="80" t="n"/>
      <c r="F79" s="37" t="inlineStr">
        <is>
          <t>Comissão de Acompanhamento Discente</t>
        </is>
      </c>
      <c r="G79" s="80" t="n"/>
      <c r="H79" s="80" t="n"/>
      <c r="I79" s="80" t="n"/>
      <c r="J79" s="80" t="n"/>
      <c r="K79" s="38" t="inlineStr">
        <is>
          <t>EM ANDAMENTO</t>
        </is>
      </c>
      <c r="L79" s="78" t="n"/>
      <c r="M79" s="40" t="n"/>
      <c r="N79" s="41" t="n"/>
      <c r="O79" s="42" t="n"/>
      <c r="P79" s="42" t="n"/>
      <c r="Q79" s="42" t="n"/>
      <c r="R79" s="42" t="n"/>
      <c r="S79" s="42" t="n"/>
      <c r="T79" s="42" t="n"/>
      <c r="U79" s="42" t="n"/>
      <c r="V79" s="42" t="n"/>
    </row>
    <row r="80" ht="53.25" customHeight="1" s="108">
      <c r="A80" s="32" t="n"/>
      <c r="B80" s="118" t="n"/>
      <c r="C80" s="64" t="n">
        <v>68</v>
      </c>
      <c r="D80" s="77" t="inlineStr">
        <is>
          <t>Incentivar o docente e o discente na publicação internacional</t>
        </is>
      </c>
      <c r="E80" s="80" t="n"/>
      <c r="F80" s="37" t="inlineStr">
        <is>
          <t>Coordenação do MPEA</t>
        </is>
      </c>
      <c r="G80" s="80" t="n"/>
      <c r="H80" s="80" t="n"/>
      <c r="I80" s="80" t="n"/>
      <c r="J80" s="80" t="n"/>
      <c r="K80" s="38" t="inlineStr">
        <is>
          <t>EM ANDAMENTO</t>
        </is>
      </c>
      <c r="L80" s="78" t="n"/>
      <c r="M80" s="40" t="n"/>
      <c r="N80" s="41" t="n"/>
      <c r="O80" s="42" t="n"/>
      <c r="P80" s="42" t="n"/>
      <c r="Q80" s="42" t="n"/>
      <c r="R80" s="42" t="n"/>
      <c r="S80" s="42" t="n"/>
      <c r="T80" s="42" t="n"/>
      <c r="U80" s="42" t="n"/>
      <c r="V80" s="42" t="n"/>
    </row>
    <row r="81" ht="63.75" customHeight="1" s="108">
      <c r="A81" s="32" t="n"/>
      <c r="B81" s="118" t="n"/>
      <c r="C81" s="64" t="n">
        <v>69</v>
      </c>
      <c r="D81" s="77" t="inlineStr">
        <is>
          <t>Divulgar o Planejamento Estratégico e os indicadores no site do MPEA</t>
        </is>
      </c>
      <c r="E81" s="80" t="n"/>
      <c r="F81" s="37" t="inlineStr">
        <is>
          <t>Comissão de Monitoramento do Planejamento Estratégico</t>
        </is>
      </c>
      <c r="G81" s="80" t="n"/>
      <c r="H81" s="80" t="n"/>
      <c r="I81" s="80" t="n"/>
      <c r="J81" s="80" t="n"/>
      <c r="K81" s="38" t="inlineStr">
        <is>
          <t>EM ANDAMENTO</t>
        </is>
      </c>
      <c r="L81" s="78" t="n"/>
      <c r="M81" s="40" t="n"/>
      <c r="N81" s="41" t="n"/>
      <c r="O81" s="42" t="n"/>
      <c r="P81" s="42" t="n"/>
      <c r="Q81" s="42" t="n"/>
      <c r="R81" s="42" t="n"/>
      <c r="S81" s="42" t="n"/>
      <c r="T81" s="42" t="n"/>
      <c r="U81" s="42" t="n"/>
      <c r="V81" s="42" t="n"/>
    </row>
    <row r="82" ht="53.25" customHeight="1" s="108">
      <c r="A82" s="32" t="n"/>
      <c r="B82" s="118" t="n"/>
      <c r="C82" s="64" t="n">
        <v>70</v>
      </c>
      <c r="D82" s="77" t="inlineStr">
        <is>
          <t xml:space="preserve">Criar associação dos egressos </t>
        </is>
      </c>
      <c r="E82" s="80" t="inlineStr">
        <is>
          <t>Envolver os egressos em atividades do Programa</t>
        </is>
      </c>
      <c r="F82" s="37" t="inlineStr">
        <is>
          <t>Comissão de Acompanhamento de Egressos</t>
        </is>
      </c>
      <c r="G82" s="80" t="n"/>
      <c r="H82" s="80" t="n"/>
      <c r="I82" s="80" t="n"/>
      <c r="J82" s="80" t="n"/>
      <c r="K82" s="38" t="inlineStr">
        <is>
          <t>EM ANDAMENTO</t>
        </is>
      </c>
      <c r="L82" s="78" t="n"/>
      <c r="M82" s="40" t="n"/>
      <c r="N82" s="41" t="n"/>
      <c r="O82" s="42" t="n"/>
      <c r="P82" s="42" t="n"/>
      <c r="Q82" s="42" t="n"/>
      <c r="R82" s="42" t="n"/>
      <c r="S82" s="42" t="n"/>
      <c r="T82" s="42" t="n"/>
      <c r="U82" s="42" t="n"/>
      <c r="V82" s="42" t="n"/>
    </row>
    <row r="83" ht="53.25" customHeight="1" s="108">
      <c r="A83" s="32" t="n"/>
      <c r="B83" s="118" t="n"/>
      <c r="C83" s="64" t="n">
        <v>71</v>
      </c>
      <c r="D83" s="77" t="inlineStr">
        <is>
          <t xml:space="preserve">Atualizar periodicamente o site do MPEA </t>
        </is>
      </c>
      <c r="E83" s="80" t="n"/>
      <c r="F83" s="37" t="inlineStr">
        <is>
          <t>Comissão de Visibilidade</t>
        </is>
      </c>
      <c r="G83" s="80" t="n"/>
      <c r="H83" s="80" t="n"/>
      <c r="I83" s="80" t="n"/>
      <c r="J83" s="80" t="n"/>
      <c r="K83" s="38" t="inlineStr">
        <is>
          <t>EM ANDAMENTO</t>
        </is>
      </c>
      <c r="L83" s="78" t="n"/>
      <c r="M83" s="40" t="n"/>
      <c r="N83" s="41" t="n"/>
      <c r="O83" s="42" t="n"/>
      <c r="P83" s="42" t="n"/>
      <c r="Q83" s="42" t="n"/>
      <c r="R83" s="42" t="n"/>
      <c r="S83" s="42" t="n"/>
      <c r="T83" s="42" t="n"/>
      <c r="U83" s="42" t="n"/>
      <c r="V83" s="42" t="n"/>
    </row>
    <row r="84" ht="53.25" customHeight="1" s="108">
      <c r="A84" s="32" t="n"/>
      <c r="B84" s="118" t="n"/>
      <c r="C84" s="64" t="n">
        <v>72</v>
      </c>
      <c r="D84" s="77" t="inlineStr">
        <is>
          <t>Vínculos institucionais frágeis dos discentes</t>
        </is>
      </c>
      <c r="E84" s="80" t="n"/>
      <c r="F84" s="37" t="inlineStr">
        <is>
          <t>Comissão de Acompanhamento Discente</t>
        </is>
      </c>
      <c r="G84" s="80" t="n"/>
      <c r="H84" s="80" t="n"/>
      <c r="I84" s="80" t="n"/>
      <c r="J84" s="80" t="n"/>
      <c r="K84" s="38" t="n"/>
      <c r="L84" s="78" t="n"/>
      <c r="M84" s="40" t="n"/>
      <c r="N84" s="41" t="n"/>
      <c r="O84" s="42" t="n"/>
      <c r="P84" s="42" t="n"/>
      <c r="Q84" s="42" t="n"/>
      <c r="R84" s="42" t="n"/>
      <c r="S84" s="42" t="n"/>
      <c r="T84" s="42" t="n"/>
      <c r="U84" s="42" t="n"/>
      <c r="V84" s="42" t="n"/>
    </row>
    <row r="85" ht="53.25" customHeight="1" s="108">
      <c r="A85" s="32" t="n"/>
      <c r="B85" s="118" t="n"/>
      <c r="C85" s="64" t="n">
        <v>73</v>
      </c>
      <c r="D85" s="77" t="inlineStr">
        <is>
          <t>Ausência de bolsas para alunos do Programa Profissional</t>
        </is>
      </c>
      <c r="E85" s="80" t="n"/>
      <c r="F85" s="37" t="inlineStr">
        <is>
          <t>Coordenação do MPEA</t>
        </is>
      </c>
      <c r="G85" s="80" t="n"/>
      <c r="H85" s="80" t="n"/>
      <c r="I85" s="80" t="n"/>
      <c r="J85" s="80" t="n"/>
      <c r="K85" s="38" t="n"/>
      <c r="L85" s="78" t="n"/>
      <c r="M85" s="40" t="n"/>
      <c r="N85" s="41" t="n"/>
      <c r="O85" s="42" t="n"/>
      <c r="P85" s="42" t="n"/>
      <c r="Q85" s="42" t="n"/>
      <c r="R85" s="42" t="n"/>
      <c r="S85" s="42" t="n"/>
      <c r="T85" s="42" t="n"/>
      <c r="U85" s="42" t="n"/>
      <c r="V85" s="42" t="n"/>
    </row>
    <row r="86" ht="53.25" customHeight="1" s="108">
      <c r="A86" s="32" t="n"/>
      <c r="B86" s="118" t="n"/>
      <c r="C86" s="64" t="n">
        <v>74</v>
      </c>
      <c r="D86" s="77" t="inlineStr">
        <is>
          <t>Docentes do Programa em licença sem vencimento</t>
        </is>
      </c>
      <c r="E86" s="80" t="n"/>
      <c r="F86" s="37" t="inlineStr">
        <is>
          <t>Coordenação do MPEA</t>
        </is>
      </c>
      <c r="G86" s="80" t="n"/>
      <c r="H86" s="80" t="n"/>
      <c r="I86" s="80" t="n"/>
      <c r="J86" s="80" t="n"/>
      <c r="K86" s="38" t="n"/>
      <c r="L86" s="78" t="n"/>
      <c r="M86" s="40" t="n"/>
      <c r="N86" s="41" t="n"/>
      <c r="O86" s="42" t="n"/>
      <c r="P86" s="42" t="n"/>
      <c r="Q86" s="42" t="n"/>
      <c r="R86" s="42" t="n"/>
      <c r="S86" s="42" t="n"/>
      <c r="T86" s="42" t="n"/>
      <c r="U86" s="42" t="n"/>
      <c r="V86" s="42" t="n"/>
    </row>
    <row r="87" ht="53.25" customHeight="1" s="108">
      <c r="A87" s="32" t="n"/>
      <c r="B87" s="118" t="n"/>
      <c r="C87" s="64" t="n">
        <v>75</v>
      </c>
      <c r="D87" s="77" t="inlineStr">
        <is>
          <t>Falta de absorção dos egressos no mercado de trabalho</t>
        </is>
      </c>
      <c r="E87" s="80" t="n"/>
      <c r="F87" s="37" t="inlineStr">
        <is>
          <t>Comissão de Acompanhamento de Egressos</t>
        </is>
      </c>
      <c r="G87" s="80" t="n"/>
      <c r="H87" s="80" t="n"/>
      <c r="I87" s="80" t="n"/>
      <c r="J87" s="80" t="n"/>
      <c r="K87" s="38" t="n"/>
      <c r="L87" s="78" t="n"/>
      <c r="M87" s="40" t="n"/>
      <c r="N87" s="41" t="n"/>
      <c r="O87" s="42" t="n"/>
      <c r="P87" s="42" t="n"/>
      <c r="Q87" s="42" t="n"/>
      <c r="R87" s="42" t="n"/>
      <c r="S87" s="42" t="n"/>
      <c r="T87" s="42" t="n"/>
      <c r="U87" s="42" t="n"/>
      <c r="V87" s="42" t="n"/>
    </row>
    <row r="88" ht="66.75" customHeight="1" s="108">
      <c r="A88" s="32" t="n"/>
      <c r="B88" s="118" t="n"/>
      <c r="C88" s="64" t="n">
        <v>76</v>
      </c>
      <c r="D88" s="77" t="inlineStr">
        <is>
          <t>Mudanças e instabilidade dos itens de avaliação da CAPES  podendo implicar em redução do conceito do programa</t>
        </is>
      </c>
      <c r="E88" s="80" t="n"/>
      <c r="F88" s="37" t="inlineStr">
        <is>
          <t>Comissão de Monitoramento do Planejamento Estratégico</t>
        </is>
      </c>
      <c r="G88" s="80" t="n"/>
      <c r="H88" s="80" t="n"/>
      <c r="I88" s="80" t="n"/>
      <c r="J88" s="80" t="n"/>
      <c r="K88" s="38" t="n"/>
      <c r="L88" s="78" t="n"/>
      <c r="M88" s="40" t="n"/>
      <c r="N88" s="41" t="n"/>
      <c r="O88" s="42" t="n"/>
      <c r="P88" s="42" t="n"/>
      <c r="Q88" s="42" t="n"/>
      <c r="R88" s="42" t="n"/>
      <c r="S88" s="42" t="n"/>
      <c r="T88" s="42" t="n"/>
      <c r="U88" s="42" t="n"/>
      <c r="V88" s="42" t="n"/>
    </row>
    <row r="89" ht="53.25" customHeight="1" s="108">
      <c r="A89" s="32" t="n"/>
      <c r="B89" s="118" t="n"/>
      <c r="C89" s="64" t="n">
        <v>77</v>
      </c>
      <c r="D89" s="77" t="inlineStr">
        <is>
          <t>Falta de certificação para os especialistas</t>
        </is>
      </c>
      <c r="E89" s="80" t="n"/>
      <c r="F89" s="37" t="inlineStr">
        <is>
          <t>Coordenação do MPEA</t>
        </is>
      </c>
      <c r="G89" s="80" t="n"/>
      <c r="H89" s="80" t="n"/>
      <c r="I89" s="80" t="n"/>
      <c r="J89" s="80" t="n"/>
      <c r="K89" s="38" t="n"/>
      <c r="L89" s="78" t="n"/>
      <c r="M89" s="40" t="n"/>
      <c r="N89" s="41" t="n"/>
      <c r="O89" s="42" t="n"/>
      <c r="P89" s="42" t="n"/>
      <c r="Q89" s="42" t="n"/>
      <c r="R89" s="42" t="n"/>
      <c r="S89" s="42" t="n"/>
      <c r="T89" s="42" t="n"/>
      <c r="U89" s="42" t="n"/>
      <c r="V89" s="42" t="n"/>
    </row>
    <row r="90" ht="53.25" customHeight="1" s="108">
      <c r="A90" s="32" t="n"/>
      <c r="B90" s="118" t="n"/>
      <c r="C90" s="64" t="n">
        <v>78</v>
      </c>
      <c r="D90" s="77" t="inlineStr">
        <is>
          <t>Melhorar a adesão do egresso ao formulário de coleta de dados</t>
        </is>
      </c>
      <c r="E90" s="80" t="n"/>
      <c r="F90" s="37" t="inlineStr">
        <is>
          <t>Comissão de Acompanhamento de Egressos</t>
        </is>
      </c>
      <c r="G90" s="80" t="n"/>
      <c r="H90" s="80" t="n"/>
      <c r="I90" s="80" t="n"/>
      <c r="J90" s="80" t="n"/>
      <c r="K90" s="38" t="inlineStr">
        <is>
          <t>EM ANDAMENTO</t>
        </is>
      </c>
      <c r="L90" s="78" t="n"/>
      <c r="M90" s="40" t="n"/>
      <c r="N90" s="41" t="n"/>
      <c r="O90" s="42" t="n"/>
      <c r="P90" s="42" t="n"/>
      <c r="Q90" s="42" t="n"/>
      <c r="R90" s="42" t="n"/>
      <c r="S90" s="42" t="n"/>
      <c r="T90" s="42" t="n"/>
      <c r="U90" s="42" t="n"/>
      <c r="V90" s="42" t="n"/>
    </row>
    <row r="91" ht="53.25" customHeight="1" s="108">
      <c r="A91" s="32" t="n"/>
      <c r="B91" s="125" t="n"/>
      <c r="C91" s="82" t="n">
        <v>79</v>
      </c>
      <c r="D91" s="83" t="inlineStr">
        <is>
          <t>Impacto da realização de turma fora de sede</t>
        </is>
      </c>
      <c r="E91" s="84" t="inlineStr">
        <is>
          <t>Sustentar ações de solidariedade do programa</t>
        </is>
      </c>
      <c r="F91" s="37" t="inlineStr">
        <is>
          <t>Coordenação do MPEA</t>
        </is>
      </c>
      <c r="G91" s="84" t="n"/>
      <c r="H91" s="80" t="n"/>
      <c r="I91" s="84" t="n"/>
      <c r="J91" s="84" t="n"/>
      <c r="K91" s="38" t="inlineStr">
        <is>
          <t>EM ANDAMENTO</t>
        </is>
      </c>
      <c r="L91" s="85" t="n"/>
      <c r="M91" s="40">
        <f>IF(#REF!="",0,IF(#REF!&gt;1,1,IF(IF(#REF!="",#REF!,#REF!)&lt;TODAY(),2,IF(#REF!&gt;1,3,4))))</f>
        <v/>
      </c>
      <c r="N91" s="41">
        <f>IF(#REF!="",0,MONTH(#REF!))</f>
        <v/>
      </c>
      <c r="O91" s="42" t="n"/>
      <c r="P91" s="42" t="n"/>
      <c r="Q91" s="42" t="n"/>
      <c r="R91" s="42" t="n"/>
      <c r="S91" s="42" t="n"/>
      <c r="T91" s="42" t="n"/>
      <c r="U91" s="42" t="n"/>
      <c r="V91" s="42" t="n"/>
    </row>
    <row r="92" ht="13.5" customHeight="1" s="108">
      <c r="A92" s="86" t="n"/>
      <c r="B92" s="126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27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</row>
    <row r="93" ht="13.5" customHeight="1" s="108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</row>
    <row r="94" ht="13.5" customHeight="1" s="108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</row>
    <row r="95" ht="13.5" customHeight="1" s="108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</row>
    <row r="96" ht="13.5" customHeight="1" s="108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</row>
    <row r="97" ht="13.5" customHeight="1" s="108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</row>
    <row r="98" ht="13.5" customHeight="1" s="10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</row>
    <row r="99" ht="13.5" customHeight="1" s="108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</row>
    <row r="100" ht="13.5" customHeight="1" s="108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</row>
    <row r="101" ht="13.5" customHeight="1" s="108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</row>
    <row r="102" ht="13.5" customHeight="1" s="108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</row>
    <row r="103" ht="13.5" customHeight="1" s="108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</row>
    <row r="104" ht="13.5" customHeight="1" s="108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</row>
    <row r="105" ht="13.5" customHeight="1" s="108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</row>
    <row r="106" ht="13.5" customHeight="1" s="108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</row>
    <row r="107" ht="13.5" customHeight="1" s="108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</row>
    <row r="108" ht="13.5" customHeight="1" s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</row>
    <row r="109" ht="13.5" customHeight="1" s="108">
      <c r="A109" s="8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</row>
    <row r="110" ht="13.5" customHeight="1" s="108">
      <c r="A110" s="8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</row>
    <row r="111" ht="13.5" customHeight="1" s="108">
      <c r="A111" s="8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</row>
    <row r="112" ht="13.5" customHeight="1" s="108">
      <c r="A112" s="8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</row>
    <row r="113" ht="13.5" customHeight="1" s="108">
      <c r="A113" s="8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</row>
    <row r="114" ht="13.5" customHeight="1" s="108">
      <c r="A114" s="8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</row>
    <row r="115" ht="13.5" customHeight="1" s="108">
      <c r="A115" s="8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</row>
    <row r="116" ht="13.5" customHeight="1" s="108">
      <c r="A116" s="86" t="n"/>
      <c r="B116" s="86" t="n"/>
      <c r="C116" s="86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</row>
    <row r="117" ht="13.5" customHeight="1" s="108">
      <c r="A117" s="86" t="n"/>
      <c r="B117" s="86" t="n"/>
      <c r="C117" s="86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</row>
    <row r="118" ht="13.5" customHeight="1" s="108">
      <c r="A118" s="86" t="n"/>
      <c r="B118" s="86" t="n"/>
      <c r="C118" s="86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</row>
    <row r="119" ht="13.5" customHeight="1" s="108">
      <c r="A119" s="86" t="n"/>
      <c r="B119" s="86" t="n"/>
      <c r="C119" s="86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</row>
    <row r="120" ht="13.5" customHeight="1" s="108">
      <c r="A120" s="86" t="n"/>
      <c r="B120" s="86" t="n"/>
      <c r="C120" s="86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</row>
    <row r="121" ht="13.5" customHeight="1" s="108">
      <c r="A121" s="86" t="n"/>
      <c r="B121" s="86" t="n"/>
      <c r="C121" s="86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</row>
    <row r="122" ht="13.5" customHeight="1" s="108">
      <c r="A122" s="86" t="n"/>
      <c r="B122" s="86" t="n"/>
      <c r="C122" s="86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</row>
    <row r="123" ht="13.5" customHeight="1" s="108">
      <c r="A123" s="86" t="n"/>
      <c r="B123" s="86" t="n"/>
      <c r="C123" s="86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</row>
    <row r="124" ht="13.5" customHeight="1" s="108">
      <c r="A124" s="86" t="n"/>
      <c r="B124" s="86" t="n"/>
      <c r="C124" s="86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</row>
    <row r="125" ht="13.5" customHeight="1" s="108">
      <c r="A125" s="86" t="n"/>
      <c r="B125" s="86" t="n"/>
      <c r="C125" s="86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</row>
    <row r="126" ht="13.5" customHeight="1" s="108">
      <c r="A126" s="86" t="n"/>
      <c r="B126" s="86" t="n"/>
      <c r="C126" s="86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</row>
    <row r="127" ht="13.5" customHeight="1" s="108">
      <c r="A127" s="86" t="n"/>
      <c r="B127" s="86" t="n"/>
      <c r="C127" s="86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</row>
    <row r="128" ht="13.5" customHeight="1" s="108">
      <c r="A128" s="86" t="n"/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</row>
    <row r="129" ht="13.5" customHeight="1" s="108">
      <c r="A129" s="86" t="n"/>
      <c r="B129" s="86" t="n"/>
      <c r="C129" s="86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</row>
    <row r="130" ht="13.5" customHeight="1" s="108">
      <c r="A130" s="86" t="n"/>
      <c r="B130" s="86" t="n"/>
      <c r="C130" s="86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</row>
    <row r="131" ht="13.5" customHeight="1" s="108">
      <c r="A131" s="86" t="n"/>
      <c r="B131" s="86" t="n"/>
      <c r="C131" s="86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</row>
    <row r="132" ht="13.5" customHeight="1" s="108">
      <c r="A132" s="86" t="n"/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</row>
    <row r="133" ht="13.5" customHeight="1" s="108">
      <c r="A133" s="86" t="n"/>
      <c r="B133" s="86" t="n"/>
      <c r="C133" s="86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</row>
    <row r="134" ht="13.5" customHeight="1" s="108">
      <c r="A134" s="86" t="n"/>
      <c r="B134" s="86" t="n"/>
      <c r="C134" s="86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</row>
    <row r="135" ht="13.5" customHeight="1" s="108">
      <c r="A135" s="86" t="n"/>
      <c r="B135" s="86" t="n"/>
      <c r="C135" s="86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</row>
    <row r="136" ht="13.5" customHeight="1" s="108">
      <c r="A136" s="86" t="n"/>
      <c r="B136" s="86" t="n"/>
      <c r="C136" s="86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</row>
    <row r="137" ht="13.5" customHeight="1" s="108">
      <c r="A137" s="86" t="n"/>
      <c r="B137" s="86" t="n"/>
      <c r="C137" s="86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</row>
    <row r="138" ht="13.5" customHeight="1" s="108">
      <c r="A138" s="86" t="n"/>
      <c r="B138" s="86" t="n"/>
      <c r="C138" s="86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</row>
    <row r="139" ht="13.5" customHeight="1" s="108">
      <c r="A139" s="86" t="n"/>
      <c r="B139" s="86" t="n"/>
      <c r="C139" s="86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</row>
    <row r="140" ht="13.5" customHeight="1" s="108">
      <c r="A140" s="86" t="n"/>
      <c r="B140" s="86" t="n"/>
      <c r="C140" s="86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</row>
    <row r="141" ht="13.5" customHeight="1" s="108">
      <c r="A141" s="86" t="n"/>
      <c r="B141" s="86" t="n"/>
      <c r="C141" s="86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</row>
    <row r="142" ht="13.5" customHeight="1" s="108">
      <c r="A142" s="86" t="n"/>
      <c r="B142" s="86" t="n"/>
      <c r="C142" s="86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</row>
    <row r="143" ht="13.5" customHeight="1" s="108">
      <c r="A143" s="86" t="n"/>
      <c r="B143" s="86" t="n"/>
      <c r="C143" s="86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</row>
    <row r="144" ht="13.5" customHeight="1" s="108">
      <c r="A144" s="86" t="n"/>
      <c r="B144" s="86" t="n"/>
      <c r="C144" s="86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</row>
    <row r="145" ht="13.5" customHeight="1" s="108">
      <c r="A145" s="86" t="n"/>
      <c r="B145" s="86" t="n"/>
      <c r="C145" s="86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</row>
    <row r="146" ht="13.5" customHeight="1" s="108">
      <c r="A146" s="86" t="n"/>
      <c r="B146" s="86" t="n"/>
      <c r="C146" s="86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</row>
    <row r="147" ht="13.5" customHeight="1" s="108">
      <c r="A147" s="86" t="n"/>
      <c r="B147" s="86" t="n"/>
      <c r="C147" s="86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</row>
    <row r="148" ht="13.5" customHeight="1" s="108">
      <c r="A148" s="86" t="n"/>
      <c r="B148" s="86" t="n"/>
      <c r="C148" s="86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</row>
    <row r="149" ht="13.5" customHeight="1" s="108">
      <c r="A149" s="86" t="n"/>
      <c r="B149" s="86" t="n"/>
      <c r="C149" s="86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</row>
    <row r="150" ht="13.5" customHeight="1" s="108">
      <c r="A150" s="86" t="n"/>
      <c r="B150" s="86" t="n"/>
      <c r="C150" s="86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</row>
    <row r="151" ht="13.5" customHeight="1" s="108">
      <c r="A151" s="86" t="n"/>
      <c r="B151" s="86" t="n"/>
      <c r="C151" s="86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</row>
    <row r="152" ht="13.5" customHeight="1" s="108">
      <c r="A152" s="86" t="n"/>
      <c r="B152" s="86" t="n"/>
      <c r="C152" s="86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</row>
    <row r="153" ht="13.5" customHeight="1" s="108">
      <c r="A153" s="86" t="n"/>
      <c r="B153" s="86" t="n"/>
      <c r="C153" s="86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</row>
    <row r="154" ht="13.5" customHeight="1" s="108">
      <c r="A154" s="86" t="n"/>
      <c r="B154" s="86" t="n"/>
      <c r="C154" s="86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</row>
    <row r="155" ht="13.5" customHeight="1" s="108">
      <c r="A155" s="86" t="n"/>
      <c r="B155" s="86" t="n"/>
      <c r="C155" s="86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</row>
    <row r="156" ht="13.5" customHeight="1" s="108">
      <c r="A156" s="86" t="n"/>
      <c r="B156" s="86" t="n"/>
      <c r="C156" s="86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</row>
    <row r="157" ht="13.5" customHeight="1" s="108">
      <c r="A157" s="86" t="n"/>
      <c r="B157" s="86" t="n"/>
      <c r="C157" s="86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</row>
    <row r="158" ht="13.5" customHeight="1" s="108">
      <c r="A158" s="86" t="n"/>
      <c r="B158" s="86" t="n"/>
      <c r="C158" s="86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</row>
    <row r="159" ht="13.5" customHeight="1" s="108">
      <c r="A159" s="86" t="n"/>
      <c r="B159" s="86" t="n"/>
      <c r="C159" s="86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</row>
    <row r="160" ht="13.5" customHeight="1" s="108">
      <c r="A160" s="86" t="n"/>
      <c r="B160" s="86" t="n"/>
      <c r="C160" s="86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</row>
    <row r="161" ht="13.5" customHeight="1" s="108">
      <c r="A161" s="86" t="n"/>
      <c r="B161" s="86" t="n"/>
      <c r="C161" s="86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</row>
    <row r="162" ht="13.5" customHeight="1" s="108">
      <c r="A162" s="86" t="n"/>
      <c r="B162" s="86" t="n"/>
      <c r="C162" s="86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</row>
    <row r="163" ht="13.5" customHeight="1" s="108">
      <c r="A163" s="86" t="n"/>
      <c r="B163" s="86" t="n"/>
      <c r="C163" s="86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</row>
    <row r="164" ht="13.5" customHeight="1" s="108">
      <c r="A164" s="86" t="n"/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</row>
    <row r="165" ht="13.5" customHeight="1" s="108">
      <c r="A165" s="86" t="n"/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</row>
    <row r="166" ht="13.5" customHeight="1" s="108">
      <c r="A166" s="86" t="n"/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</row>
    <row r="167" ht="13.5" customHeight="1" s="108">
      <c r="A167" s="86" t="n"/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</row>
    <row r="168" ht="13.5" customHeight="1" s="108">
      <c r="A168" s="86" t="n"/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</row>
    <row r="169" ht="13.5" customHeight="1" s="108">
      <c r="A169" s="86" t="n"/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</row>
    <row r="170" ht="13.5" customHeight="1" s="108">
      <c r="A170" s="86" t="n"/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</row>
    <row r="171" ht="13.5" customHeight="1" s="108">
      <c r="A171" s="86" t="n"/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</row>
    <row r="172" ht="13.5" customHeight="1" s="108">
      <c r="A172" s="86" t="n"/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</row>
    <row r="173" ht="13.5" customHeight="1" s="108">
      <c r="A173" s="86" t="n"/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</row>
    <row r="174" ht="13.5" customHeight="1" s="108">
      <c r="A174" s="86" t="n"/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</row>
    <row r="175" ht="13.5" customHeight="1" s="108">
      <c r="A175" s="86" t="n"/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</row>
    <row r="176" ht="13.5" customHeight="1" s="108">
      <c r="A176" s="86" t="n"/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</row>
    <row r="177" ht="13.5" customHeight="1" s="108">
      <c r="A177" s="86" t="n"/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</row>
    <row r="178" ht="13.5" customHeight="1" s="108">
      <c r="A178" s="86" t="n"/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</row>
    <row r="179" ht="13.5" customHeight="1" s="108">
      <c r="A179" s="86" t="n"/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</row>
    <row r="180" ht="13.5" customHeight="1" s="108">
      <c r="A180" s="86" t="n"/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</row>
    <row r="181" ht="13.5" customHeight="1" s="108">
      <c r="A181" s="86" t="n"/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</row>
    <row r="182" ht="13.5" customHeight="1" s="108">
      <c r="A182" s="86" t="n"/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</row>
    <row r="183" ht="13.5" customHeight="1" s="108">
      <c r="A183" s="86" t="n"/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</row>
    <row r="184" ht="13.5" customHeight="1" s="108">
      <c r="A184" s="86" t="n"/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</row>
    <row r="185" ht="13.5" customHeight="1" s="108">
      <c r="A185" s="86" t="n"/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</row>
    <row r="186" ht="13.5" customHeight="1" s="108">
      <c r="A186" s="86" t="n"/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</row>
    <row r="187" ht="13.5" customHeight="1" s="108">
      <c r="A187" s="86" t="n"/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</row>
    <row r="188" ht="13.5" customHeight="1" s="108">
      <c r="A188" s="86" t="n"/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</row>
    <row r="189" ht="13.5" customHeight="1" s="108">
      <c r="A189" s="86" t="n"/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</row>
    <row r="190" ht="13.5" customHeight="1" s="108">
      <c r="A190" s="86" t="n"/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</row>
    <row r="191" ht="13.5" customHeight="1" s="108">
      <c r="A191" s="86" t="n"/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</row>
    <row r="192" ht="13.5" customHeight="1" s="108">
      <c r="A192" s="86" t="n"/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</row>
    <row r="193" ht="13.5" customHeight="1" s="108">
      <c r="A193" s="86" t="n"/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</row>
    <row r="194" ht="13.5" customHeight="1" s="108">
      <c r="A194" s="86" t="n"/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</row>
    <row r="195" ht="13.5" customHeight="1" s="108">
      <c r="A195" s="86" t="n"/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</row>
    <row r="196" ht="13.5" customHeight="1" s="108">
      <c r="A196" s="86" t="n"/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</row>
    <row r="197" ht="13.5" customHeight="1" s="108">
      <c r="A197" s="86" t="n"/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</row>
    <row r="198" ht="13.5" customHeight="1" s="108">
      <c r="A198" s="86" t="n"/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</row>
    <row r="199" ht="13.5" customHeight="1" s="108">
      <c r="A199" s="86" t="n"/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</row>
    <row r="200" ht="13.5" customHeight="1" s="108">
      <c r="A200" s="86" t="n"/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</row>
    <row r="201" ht="13.5" customHeight="1" s="108">
      <c r="A201" s="86" t="n"/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</row>
    <row r="202" ht="13.5" customHeight="1" s="108">
      <c r="A202" s="86" t="n"/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</row>
    <row r="203" ht="13.5" customHeight="1" s="108">
      <c r="A203" s="86" t="n"/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</row>
    <row r="204" ht="13.5" customHeight="1" s="108">
      <c r="A204" s="86" t="n"/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</row>
    <row r="205" ht="13.5" customHeight="1" s="108">
      <c r="A205" s="86" t="n"/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</row>
    <row r="206" ht="13.5" customHeight="1" s="108">
      <c r="A206" s="86" t="n"/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</row>
    <row r="207" ht="13.5" customHeight="1" s="108">
      <c r="A207" s="86" t="n"/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</row>
    <row r="208" ht="13.5" customHeight="1" s="108">
      <c r="A208" s="86" t="n"/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</row>
    <row r="209" ht="13.5" customHeight="1" s="108">
      <c r="A209" s="86" t="n"/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</row>
    <row r="210" ht="13.5" customHeight="1" s="108">
      <c r="A210" s="86" t="n"/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</row>
    <row r="211" ht="13.5" customHeight="1" s="108">
      <c r="A211" s="86" t="n"/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</row>
    <row r="212" ht="13.5" customHeight="1" s="108">
      <c r="A212" s="86" t="n"/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</row>
    <row r="213" ht="13.5" customHeight="1" s="108">
      <c r="A213" s="86" t="n"/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</row>
    <row r="214" ht="13.5" customHeight="1" s="108">
      <c r="A214" s="86" t="n"/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</row>
    <row r="215" ht="13.5" customHeight="1" s="108">
      <c r="A215" s="86" t="n"/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</row>
    <row r="216" ht="13.5" customHeight="1" s="108">
      <c r="A216" s="86" t="n"/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</row>
    <row r="217" ht="13.5" customHeight="1" s="108">
      <c r="A217" s="86" t="n"/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</row>
    <row r="218" ht="13.5" customHeight="1" s="108">
      <c r="A218" s="86" t="n"/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</row>
    <row r="219" ht="13.5" customHeight="1" s="108">
      <c r="A219" s="86" t="n"/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</row>
    <row r="220" ht="13.5" customHeight="1" s="108">
      <c r="A220" s="86" t="n"/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</row>
    <row r="221" ht="13.5" customHeight="1" s="108">
      <c r="A221" s="86" t="n"/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</row>
    <row r="222" ht="13.5" customHeight="1" s="108">
      <c r="A222" s="86" t="n"/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</row>
    <row r="223" ht="13.5" customHeight="1" s="108">
      <c r="A223" s="86" t="n"/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</row>
    <row r="224" ht="13.5" customHeight="1" s="108">
      <c r="A224" s="86" t="n"/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</row>
    <row r="225" ht="13.5" customHeight="1" s="108">
      <c r="A225" s="86" t="n"/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</row>
    <row r="226" ht="13.5" customHeight="1" s="108">
      <c r="A226" s="86" t="n"/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</row>
    <row r="227" ht="13.5" customHeight="1" s="108">
      <c r="A227" s="86" t="n"/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</row>
    <row r="228" ht="13.5" customHeight="1" s="108">
      <c r="A228" s="86" t="n"/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</row>
    <row r="229" ht="13.5" customHeight="1" s="108">
      <c r="A229" s="86" t="n"/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</row>
    <row r="230" ht="13.5" customHeight="1" s="108">
      <c r="A230" s="86" t="n"/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</row>
    <row r="231" ht="13.5" customHeight="1" s="108">
      <c r="A231" s="86" t="n"/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</row>
    <row r="232" ht="13.5" customHeight="1" s="108">
      <c r="A232" s="86" t="n"/>
      <c r="B232" s="86" t="n"/>
      <c r="C232" s="86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</row>
    <row r="233" ht="13.5" customHeight="1" s="108">
      <c r="A233" s="86" t="n"/>
      <c r="B233" s="86" t="n"/>
      <c r="C233" s="86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</row>
    <row r="234" ht="13.5" customHeight="1" s="108">
      <c r="A234" s="86" t="n"/>
      <c r="B234" s="86" t="n"/>
      <c r="C234" s="86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</row>
    <row r="235" ht="13.5" customHeight="1" s="108">
      <c r="A235" s="86" t="n"/>
      <c r="B235" s="86" t="n"/>
      <c r="C235" s="86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</row>
    <row r="236" ht="13.5" customHeight="1" s="108">
      <c r="A236" s="86" t="n"/>
      <c r="B236" s="86" t="n"/>
      <c r="C236" s="86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</row>
    <row r="237" ht="13.5" customHeight="1" s="108">
      <c r="A237" s="86" t="n"/>
      <c r="B237" s="86" t="n"/>
      <c r="C237" s="86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</row>
    <row r="238" ht="13.5" customHeight="1" s="108">
      <c r="A238" s="86" t="n"/>
      <c r="B238" s="86" t="n"/>
      <c r="C238" s="86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</row>
    <row r="239" ht="13.5" customHeight="1" s="108">
      <c r="A239" s="86" t="n"/>
      <c r="B239" s="86" t="n"/>
      <c r="C239" s="86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</row>
    <row r="240" ht="13.5" customHeight="1" s="108">
      <c r="A240" s="86" t="n"/>
      <c r="B240" s="86" t="n"/>
      <c r="C240" s="86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</row>
    <row r="241" ht="13.5" customHeight="1" s="108">
      <c r="A241" s="86" t="n"/>
      <c r="B241" s="86" t="n"/>
      <c r="C241" s="86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</row>
    <row r="242" ht="13.5" customHeight="1" s="108">
      <c r="A242" s="86" t="n"/>
      <c r="B242" s="86" t="n"/>
      <c r="C242" s="86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</row>
    <row r="243" ht="13.5" customHeight="1" s="108">
      <c r="A243" s="86" t="n"/>
      <c r="B243" s="86" t="n"/>
      <c r="C243" s="86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</row>
    <row r="244" ht="13.5" customHeight="1" s="108">
      <c r="A244" s="86" t="n"/>
      <c r="B244" s="86" t="n"/>
      <c r="C244" s="86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</row>
    <row r="245" ht="13.5" customHeight="1" s="108">
      <c r="A245" s="86" t="n"/>
      <c r="B245" s="86" t="n"/>
      <c r="C245" s="86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</row>
    <row r="246" ht="13.5" customHeight="1" s="108">
      <c r="A246" s="86" t="n"/>
      <c r="B246" s="86" t="n"/>
      <c r="C246" s="86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</row>
    <row r="247" ht="13.5" customHeight="1" s="108">
      <c r="A247" s="86" t="n"/>
      <c r="B247" s="86" t="n"/>
      <c r="C247" s="86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</row>
    <row r="248" ht="13.5" customHeight="1" s="108">
      <c r="A248" s="86" t="n"/>
      <c r="B248" s="86" t="n"/>
      <c r="C248" s="86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</row>
    <row r="249" ht="13.5" customHeight="1" s="108">
      <c r="A249" s="86" t="n"/>
      <c r="B249" s="86" t="n"/>
      <c r="C249" s="86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</row>
    <row r="250" ht="13.5" customHeight="1" s="108">
      <c r="A250" s="86" t="n"/>
      <c r="B250" s="86" t="n"/>
      <c r="C250" s="86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</row>
    <row r="251" ht="13.5" customHeight="1" s="108">
      <c r="A251" s="86" t="n"/>
      <c r="B251" s="86" t="n"/>
      <c r="C251" s="86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</row>
    <row r="252" ht="13.5" customHeight="1" s="108">
      <c r="A252" s="86" t="n"/>
      <c r="B252" s="86" t="n"/>
      <c r="C252" s="86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</row>
    <row r="253" ht="13.5" customHeight="1" s="108">
      <c r="A253" s="86" t="n"/>
      <c r="B253" s="86" t="n"/>
      <c r="C253" s="86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</row>
    <row r="254" ht="13.5" customHeight="1" s="108">
      <c r="A254" s="86" t="n"/>
      <c r="B254" s="86" t="n"/>
      <c r="C254" s="86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</row>
    <row r="255" ht="13.5" customHeight="1" s="108">
      <c r="A255" s="86" t="n"/>
      <c r="B255" s="86" t="n"/>
      <c r="C255" s="86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</row>
    <row r="256" ht="13.5" customHeight="1" s="108">
      <c r="A256" s="86" t="n"/>
      <c r="B256" s="86" t="n"/>
      <c r="C256" s="86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</row>
    <row r="257" ht="13.5" customHeight="1" s="108">
      <c r="A257" s="86" t="n"/>
      <c r="B257" s="86" t="n"/>
      <c r="C257" s="86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</row>
    <row r="258" ht="13.5" customHeight="1" s="108">
      <c r="A258" s="86" t="n"/>
      <c r="B258" s="86" t="n"/>
      <c r="C258" s="86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</row>
    <row r="259" ht="13.5" customHeight="1" s="108">
      <c r="A259" s="86" t="n"/>
      <c r="B259" s="86" t="n"/>
      <c r="C259" s="86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</row>
    <row r="260" ht="13.5" customHeight="1" s="108">
      <c r="A260" s="86" t="n"/>
      <c r="B260" s="86" t="n"/>
      <c r="C260" s="86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</row>
    <row r="261" ht="13.5" customHeight="1" s="108">
      <c r="A261" s="86" t="n"/>
      <c r="B261" s="86" t="n"/>
      <c r="C261" s="86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</row>
    <row r="262" ht="13.5" customHeight="1" s="108">
      <c r="A262" s="86" t="n"/>
      <c r="B262" s="86" t="n"/>
      <c r="C262" s="86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</row>
    <row r="263" ht="13.5" customHeight="1" s="108">
      <c r="A263" s="86" t="n"/>
      <c r="B263" s="86" t="n"/>
      <c r="C263" s="86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</row>
    <row r="264" ht="13.5" customHeight="1" s="108">
      <c r="A264" s="86" t="n"/>
      <c r="B264" s="86" t="n"/>
      <c r="C264" s="86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</row>
    <row r="265" ht="13.5" customHeight="1" s="108">
      <c r="A265" s="86" t="n"/>
      <c r="B265" s="86" t="n"/>
      <c r="C265" s="86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</row>
    <row r="266" ht="13.5" customHeight="1" s="108">
      <c r="A266" s="86" t="n"/>
      <c r="B266" s="86" t="n"/>
      <c r="C266" s="86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</row>
    <row r="267" ht="13.5" customHeight="1" s="108">
      <c r="A267" s="86" t="n"/>
      <c r="B267" s="86" t="n"/>
      <c r="C267" s="86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</row>
    <row r="268" ht="13.5" customHeight="1" s="108">
      <c r="A268" s="86" t="n"/>
      <c r="B268" s="86" t="n"/>
      <c r="C268" s="86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</row>
    <row r="269" ht="13.5" customHeight="1" s="108">
      <c r="A269" s="86" t="n"/>
      <c r="B269" s="86" t="n"/>
      <c r="C269" s="86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</row>
    <row r="270" ht="13.5" customHeight="1" s="108">
      <c r="A270" s="86" t="n"/>
      <c r="B270" s="86" t="n"/>
      <c r="C270" s="86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</row>
    <row r="271" ht="13.5" customHeight="1" s="108">
      <c r="A271" s="86" t="n"/>
      <c r="B271" s="86" t="n"/>
      <c r="C271" s="86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</row>
    <row r="272" ht="13.5" customHeight="1" s="108">
      <c r="A272" s="86" t="n"/>
      <c r="B272" s="86" t="n"/>
      <c r="C272" s="86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</row>
    <row r="273" ht="13.5" customHeight="1" s="108">
      <c r="A273" s="86" t="n"/>
      <c r="B273" s="86" t="n"/>
      <c r="C273" s="86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</row>
    <row r="274" ht="13.5" customHeight="1" s="108">
      <c r="A274" s="86" t="n"/>
      <c r="B274" s="86" t="n"/>
      <c r="C274" s="86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</row>
    <row r="275" ht="13.5" customHeight="1" s="108">
      <c r="A275" s="86" t="n"/>
      <c r="B275" s="86" t="n"/>
      <c r="C275" s="86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</row>
    <row r="276" ht="13.5" customHeight="1" s="108">
      <c r="A276" s="86" t="n"/>
      <c r="B276" s="86" t="n"/>
      <c r="C276" s="86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</row>
    <row r="277" ht="13.5" customHeight="1" s="108">
      <c r="A277" s="86" t="n"/>
      <c r="B277" s="86" t="n"/>
      <c r="C277" s="86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</row>
    <row r="278" ht="13.5" customHeight="1" s="108">
      <c r="A278" s="86" t="n"/>
      <c r="B278" s="86" t="n"/>
      <c r="C278" s="86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</row>
    <row r="279" ht="13.5" customHeight="1" s="108">
      <c r="A279" s="86" t="n"/>
      <c r="B279" s="86" t="n"/>
      <c r="C279" s="86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</row>
    <row r="280" ht="13.5" customHeight="1" s="108">
      <c r="A280" s="86" t="n"/>
      <c r="B280" s="86" t="n"/>
      <c r="C280" s="86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</row>
    <row r="281" ht="13.5" customHeight="1" s="108">
      <c r="A281" s="86" t="n"/>
      <c r="B281" s="86" t="n"/>
      <c r="C281" s="86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</row>
    <row r="282" ht="13.5" customHeight="1" s="108">
      <c r="A282" s="86" t="n"/>
      <c r="B282" s="86" t="n"/>
      <c r="C282" s="86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</row>
    <row r="283" ht="13.5" customHeight="1" s="108">
      <c r="A283" s="86" t="n"/>
      <c r="B283" s="86" t="n"/>
      <c r="C283" s="86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</row>
    <row r="284" ht="13.5" customHeight="1" s="108">
      <c r="A284" s="86" t="n"/>
      <c r="B284" s="86" t="n"/>
      <c r="C284" s="86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</row>
    <row r="285" ht="13.5" customHeight="1" s="108">
      <c r="A285" s="86" t="n"/>
      <c r="B285" s="86" t="n"/>
      <c r="C285" s="86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</row>
    <row r="286" ht="13.5" customHeight="1" s="108">
      <c r="A286" s="86" t="n"/>
      <c r="B286" s="86" t="n"/>
      <c r="C286" s="86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</row>
    <row r="287" ht="13.5" customHeight="1" s="108">
      <c r="A287" s="86" t="n"/>
      <c r="B287" s="86" t="n"/>
      <c r="C287" s="86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</row>
    <row r="288" ht="13.5" customHeight="1" s="108">
      <c r="A288" s="86" t="n"/>
      <c r="B288" s="86" t="n"/>
      <c r="C288" s="86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</row>
    <row r="289" ht="13.5" customHeight="1" s="108">
      <c r="A289" s="86" t="n"/>
      <c r="B289" s="86" t="n"/>
      <c r="C289" s="86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</row>
    <row r="290" ht="13.5" customHeight="1" s="108">
      <c r="A290" s="86" t="n"/>
      <c r="B290" s="86" t="n"/>
      <c r="C290" s="86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</row>
    <row r="291" ht="13.5" customHeight="1" s="108">
      <c r="A291" s="86" t="n"/>
      <c r="B291" s="86" t="n"/>
      <c r="C291" s="86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</row>
    <row r="292" ht="13.5" customHeight="1" s="108">
      <c r="A292" s="86" t="n"/>
      <c r="B292" s="86" t="n"/>
      <c r="C292" s="86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</row>
    <row r="293" ht="13.5" customHeight="1" s="108">
      <c r="A293" s="86" t="n"/>
      <c r="B293" s="86" t="n"/>
      <c r="C293" s="86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</row>
    <row r="294" ht="13.5" customHeight="1" s="108">
      <c r="A294" s="86" t="n"/>
      <c r="B294" s="86" t="n"/>
      <c r="C294" s="86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</row>
    <row r="295" ht="13.5" customHeight="1" s="108">
      <c r="A295" s="86" t="n"/>
      <c r="B295" s="86" t="n"/>
      <c r="C295" s="86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</row>
    <row r="296" ht="13.5" customHeight="1" s="108">
      <c r="A296" s="86" t="n"/>
      <c r="B296" s="86" t="n"/>
      <c r="C296" s="86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</row>
    <row r="297" ht="13.5" customHeight="1" s="108">
      <c r="A297" s="86" t="n"/>
      <c r="B297" s="86" t="n"/>
      <c r="C297" s="86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</row>
    <row r="298" ht="13.5" customHeight="1" s="108">
      <c r="A298" s="86" t="n"/>
      <c r="B298" s="86" t="n"/>
      <c r="C298" s="86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</row>
    <row r="299" ht="13.5" customHeight="1" s="108">
      <c r="A299" s="86" t="n"/>
      <c r="B299" s="86" t="n"/>
      <c r="C299" s="86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</row>
    <row r="300" ht="13.5" customHeight="1" s="108">
      <c r="A300" s="86" t="n"/>
      <c r="B300" s="86" t="n"/>
      <c r="C300" s="86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</row>
    <row r="301" ht="13.5" customHeight="1" s="108">
      <c r="A301" s="86" t="n"/>
      <c r="B301" s="86" t="n"/>
      <c r="C301" s="86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</row>
    <row r="302" ht="13.5" customHeight="1" s="108">
      <c r="A302" s="86" t="n"/>
      <c r="B302" s="86" t="n"/>
      <c r="C302" s="86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</row>
    <row r="303" ht="13.5" customHeight="1" s="108">
      <c r="A303" s="86" t="n"/>
      <c r="B303" s="86" t="n"/>
      <c r="C303" s="86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</row>
    <row r="304" ht="13.5" customHeight="1" s="108">
      <c r="A304" s="86" t="n"/>
      <c r="B304" s="86" t="n"/>
      <c r="C304" s="86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</row>
    <row r="305" ht="13.5" customHeight="1" s="108">
      <c r="A305" s="86" t="n"/>
      <c r="B305" s="86" t="n"/>
      <c r="C305" s="86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</row>
    <row r="306" ht="13.5" customHeight="1" s="108">
      <c r="A306" s="86" t="n"/>
      <c r="B306" s="86" t="n"/>
      <c r="C306" s="86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</row>
    <row r="307" ht="13.5" customHeight="1" s="108">
      <c r="A307" s="86" t="n"/>
      <c r="B307" s="86" t="n"/>
      <c r="C307" s="86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</row>
    <row r="308" ht="13.5" customHeight="1" s="108">
      <c r="A308" s="86" t="n"/>
      <c r="B308" s="86" t="n"/>
      <c r="C308" s="86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</row>
    <row r="309" ht="13.5" customHeight="1" s="108">
      <c r="A309" s="86" t="n"/>
      <c r="B309" s="86" t="n"/>
      <c r="C309" s="86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</row>
    <row r="310" ht="13.5" customHeight="1" s="108">
      <c r="A310" s="86" t="n"/>
      <c r="B310" s="86" t="n"/>
      <c r="C310" s="86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</row>
    <row r="311" ht="13.5" customHeight="1" s="108">
      <c r="A311" s="86" t="n"/>
      <c r="B311" s="86" t="n"/>
      <c r="C311" s="86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</row>
    <row r="312" ht="13.5" customHeight="1" s="108">
      <c r="A312" s="86" t="n"/>
      <c r="B312" s="86" t="n"/>
      <c r="C312" s="86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</row>
    <row r="313" ht="13.5" customHeight="1" s="108">
      <c r="A313" s="86" t="n"/>
      <c r="B313" s="86" t="n"/>
      <c r="C313" s="86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</row>
    <row r="314" ht="13.5" customHeight="1" s="108">
      <c r="A314" s="86" t="n"/>
      <c r="B314" s="86" t="n"/>
      <c r="C314" s="86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</row>
    <row r="315" ht="13.5" customHeight="1" s="108">
      <c r="A315" s="86" t="n"/>
      <c r="B315" s="86" t="n"/>
      <c r="C315" s="86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</row>
    <row r="316" ht="13.5" customHeight="1" s="108">
      <c r="A316" s="86" t="n"/>
      <c r="B316" s="86" t="n"/>
      <c r="C316" s="86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</row>
    <row r="317" ht="13.5" customHeight="1" s="108">
      <c r="A317" s="86" t="n"/>
      <c r="B317" s="86" t="n"/>
      <c r="C317" s="86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</row>
    <row r="318" ht="13.5" customHeight="1" s="108">
      <c r="A318" s="86" t="n"/>
      <c r="B318" s="86" t="n"/>
      <c r="C318" s="86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</row>
    <row r="319" ht="13.5" customHeight="1" s="108">
      <c r="A319" s="86" t="n"/>
      <c r="B319" s="86" t="n"/>
      <c r="C319" s="86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</row>
    <row r="320" ht="13.5" customHeight="1" s="108">
      <c r="A320" s="86" t="n"/>
      <c r="B320" s="86" t="n"/>
      <c r="C320" s="86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</row>
    <row r="321" ht="13.5" customHeight="1" s="108">
      <c r="A321" s="86" t="n"/>
      <c r="B321" s="86" t="n"/>
      <c r="C321" s="86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</row>
    <row r="322" ht="13.5" customHeight="1" s="108">
      <c r="A322" s="86" t="n"/>
      <c r="B322" s="86" t="n"/>
      <c r="C322" s="86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</row>
    <row r="323" ht="13.5" customHeight="1" s="108">
      <c r="A323" s="86" t="n"/>
      <c r="B323" s="86" t="n"/>
      <c r="C323" s="86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</row>
    <row r="324" ht="13.5" customHeight="1" s="108">
      <c r="A324" s="86" t="n"/>
      <c r="B324" s="86" t="n"/>
      <c r="C324" s="86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</row>
    <row r="325" ht="13.5" customHeight="1" s="108">
      <c r="A325" s="86" t="n"/>
      <c r="B325" s="86" t="n"/>
      <c r="C325" s="86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</row>
    <row r="326" ht="13.5" customHeight="1" s="108">
      <c r="A326" s="86" t="n"/>
      <c r="B326" s="86" t="n"/>
      <c r="C326" s="86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</row>
    <row r="327" ht="13.5" customHeight="1" s="108">
      <c r="A327" s="86" t="n"/>
      <c r="B327" s="86" t="n"/>
      <c r="C327" s="86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</row>
    <row r="328" ht="13.5" customHeight="1" s="108">
      <c r="A328" s="86" t="n"/>
      <c r="B328" s="86" t="n"/>
      <c r="C328" s="86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</row>
    <row r="329" ht="13.5" customHeight="1" s="108">
      <c r="A329" s="86" t="n"/>
      <c r="B329" s="86" t="n"/>
      <c r="C329" s="86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</row>
    <row r="330" ht="13.5" customHeight="1" s="108">
      <c r="A330" s="86" t="n"/>
      <c r="B330" s="86" t="n"/>
      <c r="C330" s="86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</row>
    <row r="331" ht="13.5" customHeight="1" s="108">
      <c r="A331" s="86" t="n"/>
      <c r="B331" s="86" t="n"/>
      <c r="C331" s="86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</row>
    <row r="332" ht="13.5" customHeight="1" s="108">
      <c r="A332" s="86" t="n"/>
      <c r="B332" s="86" t="n"/>
      <c r="C332" s="86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</row>
    <row r="333" ht="13.5" customHeight="1" s="108">
      <c r="A333" s="86" t="n"/>
      <c r="B333" s="86" t="n"/>
      <c r="C333" s="86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</row>
    <row r="334" ht="13.5" customHeight="1" s="108">
      <c r="A334" s="86" t="n"/>
      <c r="B334" s="86" t="n"/>
      <c r="C334" s="86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</row>
    <row r="335" ht="13.5" customHeight="1" s="108">
      <c r="A335" s="86" t="n"/>
      <c r="B335" s="86" t="n"/>
      <c r="C335" s="86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</row>
    <row r="336" ht="13.5" customHeight="1" s="108">
      <c r="A336" s="86" t="n"/>
      <c r="B336" s="86" t="n"/>
      <c r="C336" s="86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</row>
    <row r="337" ht="13.5" customHeight="1" s="108">
      <c r="A337" s="86" t="n"/>
      <c r="B337" s="86" t="n"/>
      <c r="C337" s="86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</row>
    <row r="338" ht="13.5" customHeight="1" s="108">
      <c r="A338" s="86" t="n"/>
      <c r="B338" s="86" t="n"/>
      <c r="C338" s="86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</row>
    <row r="339" ht="13.5" customHeight="1" s="108">
      <c r="A339" s="86" t="n"/>
      <c r="B339" s="86" t="n"/>
      <c r="C339" s="86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</row>
    <row r="340" ht="13.5" customHeight="1" s="108">
      <c r="A340" s="86" t="n"/>
      <c r="B340" s="86" t="n"/>
      <c r="C340" s="86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</row>
    <row r="341" ht="13.5" customHeight="1" s="108">
      <c r="A341" s="86" t="n"/>
      <c r="B341" s="86" t="n"/>
      <c r="C341" s="86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</row>
    <row r="342" ht="13.5" customHeight="1" s="108">
      <c r="A342" s="86" t="n"/>
      <c r="B342" s="86" t="n"/>
      <c r="C342" s="86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</row>
    <row r="343" ht="13.5" customHeight="1" s="108">
      <c r="A343" s="86" t="n"/>
      <c r="B343" s="86" t="n"/>
      <c r="C343" s="86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</row>
    <row r="344" ht="13.5" customHeight="1" s="108">
      <c r="A344" s="86" t="n"/>
      <c r="B344" s="86" t="n"/>
      <c r="C344" s="86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</row>
    <row r="345" ht="13.5" customHeight="1" s="108">
      <c r="A345" s="86" t="n"/>
      <c r="B345" s="86" t="n"/>
      <c r="C345" s="86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</row>
    <row r="346" ht="13.5" customHeight="1" s="108">
      <c r="A346" s="86" t="n"/>
      <c r="B346" s="86" t="n"/>
      <c r="C346" s="86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</row>
    <row r="347" ht="13.5" customHeight="1" s="108">
      <c r="A347" s="86" t="n"/>
      <c r="B347" s="86" t="n"/>
      <c r="C347" s="86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</row>
    <row r="348" ht="13.5" customHeight="1" s="108">
      <c r="A348" s="86" t="n"/>
      <c r="B348" s="86" t="n"/>
      <c r="C348" s="86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</row>
    <row r="349" ht="13.5" customHeight="1" s="108">
      <c r="A349" s="86" t="n"/>
      <c r="B349" s="86" t="n"/>
      <c r="C349" s="86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</row>
    <row r="350" ht="13.5" customHeight="1" s="108">
      <c r="A350" s="86" t="n"/>
      <c r="B350" s="86" t="n"/>
      <c r="C350" s="86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</row>
    <row r="351" ht="13.5" customHeight="1" s="108">
      <c r="A351" s="86" t="n"/>
      <c r="B351" s="86" t="n"/>
      <c r="C351" s="86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</row>
    <row r="352" ht="13.5" customHeight="1" s="108">
      <c r="A352" s="86" t="n"/>
      <c r="B352" s="86" t="n"/>
      <c r="C352" s="86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</row>
    <row r="353" ht="13.5" customHeight="1" s="108">
      <c r="A353" s="86" t="n"/>
      <c r="B353" s="86" t="n"/>
      <c r="C353" s="86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</row>
    <row r="354" ht="13.5" customHeight="1" s="108">
      <c r="A354" s="86" t="n"/>
      <c r="B354" s="86" t="n"/>
      <c r="C354" s="86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</row>
    <row r="355" ht="13.5" customHeight="1" s="108">
      <c r="A355" s="86" t="n"/>
      <c r="B355" s="86" t="n"/>
      <c r="C355" s="86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</row>
    <row r="356" ht="13.5" customHeight="1" s="108">
      <c r="A356" s="86" t="n"/>
      <c r="B356" s="86" t="n"/>
      <c r="C356" s="86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</row>
    <row r="357" ht="13.5" customHeight="1" s="108">
      <c r="A357" s="86" t="n"/>
      <c r="B357" s="86" t="n"/>
      <c r="C357" s="86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</row>
    <row r="358" ht="13.5" customHeight="1" s="108">
      <c r="A358" s="86" t="n"/>
      <c r="B358" s="86" t="n"/>
      <c r="C358" s="86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</row>
    <row r="359" ht="13.5" customHeight="1" s="108">
      <c r="A359" s="86" t="n"/>
      <c r="B359" s="86" t="n"/>
      <c r="C359" s="86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</row>
    <row r="360" ht="13.5" customHeight="1" s="108">
      <c r="A360" s="86" t="n"/>
      <c r="B360" s="86" t="n"/>
      <c r="C360" s="86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</row>
    <row r="361" ht="13.5" customHeight="1" s="108">
      <c r="A361" s="86" t="n"/>
      <c r="B361" s="86" t="n"/>
      <c r="C361" s="86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</row>
    <row r="362" ht="13.5" customHeight="1" s="108">
      <c r="A362" s="86" t="n"/>
      <c r="B362" s="86" t="n"/>
      <c r="C362" s="86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</row>
    <row r="363" ht="13.5" customHeight="1" s="108">
      <c r="A363" s="86" t="n"/>
      <c r="B363" s="86" t="n"/>
      <c r="C363" s="86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</row>
    <row r="364" ht="13.5" customHeight="1" s="108">
      <c r="A364" s="86" t="n"/>
      <c r="B364" s="86" t="n"/>
      <c r="C364" s="86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</row>
    <row r="365" ht="13.5" customHeight="1" s="108">
      <c r="A365" s="86" t="n"/>
      <c r="B365" s="86" t="n"/>
      <c r="C365" s="86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</row>
    <row r="366" ht="13.5" customHeight="1" s="108">
      <c r="A366" s="86" t="n"/>
      <c r="B366" s="86" t="n"/>
      <c r="C366" s="86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</row>
    <row r="367" ht="13.5" customHeight="1" s="108">
      <c r="A367" s="86" t="n"/>
      <c r="B367" s="86" t="n"/>
      <c r="C367" s="86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</row>
    <row r="368" ht="13.5" customHeight="1" s="108">
      <c r="A368" s="86" t="n"/>
      <c r="B368" s="86" t="n"/>
      <c r="C368" s="86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</row>
    <row r="369" ht="13.5" customHeight="1" s="108">
      <c r="A369" s="86" t="n"/>
      <c r="B369" s="86" t="n"/>
      <c r="C369" s="86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</row>
    <row r="370" ht="13.5" customHeight="1" s="108">
      <c r="A370" s="86" t="n"/>
      <c r="B370" s="86" t="n"/>
      <c r="C370" s="86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</row>
    <row r="371" ht="13.5" customHeight="1" s="108">
      <c r="A371" s="86" t="n"/>
      <c r="B371" s="86" t="n"/>
      <c r="C371" s="86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</row>
    <row r="372" ht="13.5" customHeight="1" s="108">
      <c r="A372" s="86" t="n"/>
      <c r="B372" s="86" t="n"/>
      <c r="C372" s="86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</row>
    <row r="373" ht="13.5" customHeight="1" s="108">
      <c r="A373" s="86" t="n"/>
      <c r="B373" s="86" t="n"/>
      <c r="C373" s="86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</row>
    <row r="374" ht="13.5" customHeight="1" s="108">
      <c r="A374" s="86" t="n"/>
      <c r="B374" s="86" t="n"/>
      <c r="C374" s="86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</row>
    <row r="375" ht="13.5" customHeight="1" s="108">
      <c r="A375" s="86" t="n"/>
      <c r="B375" s="86" t="n"/>
      <c r="C375" s="86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</row>
    <row r="376" ht="13.5" customHeight="1" s="108">
      <c r="A376" s="86" t="n"/>
      <c r="B376" s="86" t="n"/>
      <c r="C376" s="86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</row>
    <row r="377" ht="13.5" customHeight="1" s="108">
      <c r="A377" s="86" t="n"/>
      <c r="B377" s="86" t="n"/>
      <c r="C377" s="86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</row>
    <row r="378" ht="13.5" customHeight="1" s="108">
      <c r="A378" s="86" t="n"/>
      <c r="B378" s="86" t="n"/>
      <c r="C378" s="86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</row>
    <row r="379" ht="13.5" customHeight="1" s="108">
      <c r="A379" s="86" t="n"/>
      <c r="B379" s="86" t="n"/>
      <c r="C379" s="86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</row>
    <row r="380" ht="13.5" customHeight="1" s="108">
      <c r="A380" s="86" t="n"/>
      <c r="B380" s="86" t="n"/>
      <c r="C380" s="86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</row>
    <row r="381" ht="13.5" customHeight="1" s="108">
      <c r="A381" s="86" t="n"/>
      <c r="B381" s="86" t="n"/>
      <c r="C381" s="86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</row>
    <row r="382" ht="13.5" customHeight="1" s="108">
      <c r="A382" s="86" t="n"/>
      <c r="B382" s="86" t="n"/>
      <c r="C382" s="86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</row>
    <row r="383" ht="13.5" customHeight="1" s="108">
      <c r="A383" s="86" t="n"/>
      <c r="B383" s="86" t="n"/>
      <c r="C383" s="86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</row>
    <row r="384" ht="13.5" customHeight="1" s="108">
      <c r="A384" s="86" t="n"/>
      <c r="B384" s="86" t="n"/>
      <c r="C384" s="86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</row>
    <row r="385" ht="13.5" customHeight="1" s="108">
      <c r="A385" s="86" t="n"/>
      <c r="B385" s="86" t="n"/>
      <c r="C385" s="86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</row>
    <row r="386" ht="13.5" customHeight="1" s="108">
      <c r="A386" s="86" t="n"/>
      <c r="B386" s="86" t="n"/>
      <c r="C386" s="86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</row>
    <row r="387" ht="13.5" customHeight="1" s="108">
      <c r="A387" s="86" t="n"/>
      <c r="B387" s="86" t="n"/>
      <c r="C387" s="86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</row>
    <row r="388" ht="13.5" customHeight="1" s="108">
      <c r="A388" s="86" t="n"/>
      <c r="B388" s="86" t="n"/>
      <c r="C388" s="86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</row>
    <row r="389" ht="13.5" customHeight="1" s="108">
      <c r="A389" s="86" t="n"/>
      <c r="B389" s="86" t="n"/>
      <c r="C389" s="86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</row>
    <row r="390" ht="13.5" customHeight="1" s="108">
      <c r="A390" s="86" t="n"/>
      <c r="B390" s="86" t="n"/>
      <c r="C390" s="86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</row>
    <row r="391" ht="13.5" customHeight="1" s="108">
      <c r="A391" s="86" t="n"/>
      <c r="B391" s="86" t="n"/>
      <c r="C391" s="86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</row>
    <row r="392" ht="13.5" customHeight="1" s="108">
      <c r="A392" s="86" t="n"/>
      <c r="B392" s="86" t="n"/>
      <c r="C392" s="86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</row>
    <row r="393" ht="13.5" customHeight="1" s="108">
      <c r="A393" s="86" t="n"/>
      <c r="B393" s="86" t="n"/>
      <c r="C393" s="86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</row>
    <row r="394" ht="13.5" customHeight="1" s="108">
      <c r="A394" s="86" t="n"/>
      <c r="B394" s="86" t="n"/>
      <c r="C394" s="86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</row>
    <row r="395" ht="13.5" customHeight="1" s="108">
      <c r="A395" s="86" t="n"/>
      <c r="B395" s="86" t="n"/>
      <c r="C395" s="86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</row>
    <row r="396" ht="13.5" customHeight="1" s="108">
      <c r="A396" s="86" t="n"/>
      <c r="B396" s="86" t="n"/>
      <c r="C396" s="86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</row>
    <row r="397" ht="13.5" customHeight="1" s="108">
      <c r="A397" s="86" t="n"/>
      <c r="B397" s="86" t="n"/>
      <c r="C397" s="86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</row>
    <row r="398" ht="13.5" customHeight="1" s="108">
      <c r="A398" s="86" t="n"/>
      <c r="B398" s="86" t="n"/>
      <c r="C398" s="86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</row>
    <row r="399" ht="13.5" customHeight="1" s="108">
      <c r="A399" s="86" t="n"/>
      <c r="B399" s="86" t="n"/>
      <c r="C399" s="86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</row>
    <row r="400" ht="13.5" customHeight="1" s="108">
      <c r="A400" s="86" t="n"/>
      <c r="B400" s="86" t="n"/>
      <c r="C400" s="86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</row>
    <row r="401" ht="13.5" customHeight="1" s="108">
      <c r="A401" s="86" t="n"/>
      <c r="B401" s="86" t="n"/>
      <c r="C401" s="86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</row>
    <row r="402" ht="13.5" customHeight="1" s="108">
      <c r="A402" s="86" t="n"/>
      <c r="B402" s="86" t="n"/>
      <c r="C402" s="86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</row>
    <row r="403" ht="13.5" customHeight="1" s="108">
      <c r="A403" s="86" t="n"/>
      <c r="B403" s="86" t="n"/>
      <c r="C403" s="86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</row>
    <row r="404" ht="13.5" customHeight="1" s="108">
      <c r="A404" s="86" t="n"/>
      <c r="B404" s="86" t="n"/>
      <c r="C404" s="86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</row>
    <row r="405" ht="13.5" customHeight="1" s="108">
      <c r="A405" s="86" t="n"/>
      <c r="B405" s="86" t="n"/>
      <c r="C405" s="86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</row>
    <row r="406" ht="13.5" customHeight="1" s="108">
      <c r="A406" s="86" t="n"/>
      <c r="B406" s="86" t="n"/>
      <c r="C406" s="86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</row>
    <row r="407" ht="13.5" customHeight="1" s="108">
      <c r="A407" s="86" t="n"/>
      <c r="B407" s="86" t="n"/>
      <c r="C407" s="86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</row>
    <row r="408" ht="13.5" customHeight="1" s="108">
      <c r="A408" s="86" t="n"/>
      <c r="B408" s="86" t="n"/>
      <c r="C408" s="86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</row>
    <row r="409" ht="13.5" customHeight="1" s="108">
      <c r="A409" s="86" t="n"/>
      <c r="B409" s="86" t="n"/>
      <c r="C409" s="86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</row>
    <row r="410" ht="13.5" customHeight="1" s="108">
      <c r="A410" s="86" t="n"/>
      <c r="B410" s="86" t="n"/>
      <c r="C410" s="86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</row>
    <row r="411" ht="13.5" customHeight="1" s="108">
      <c r="A411" s="86" t="n"/>
      <c r="B411" s="86" t="n"/>
      <c r="C411" s="86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</row>
    <row r="412" ht="13.5" customHeight="1" s="108">
      <c r="A412" s="86" t="n"/>
      <c r="B412" s="86" t="n"/>
      <c r="C412" s="86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</row>
    <row r="413" ht="13.5" customHeight="1" s="108">
      <c r="A413" s="86" t="n"/>
      <c r="B413" s="86" t="n"/>
      <c r="C413" s="86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</row>
    <row r="414" ht="13.5" customHeight="1" s="108">
      <c r="A414" s="86" t="n"/>
      <c r="B414" s="86" t="n"/>
      <c r="C414" s="86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</row>
    <row r="415" ht="13.5" customHeight="1" s="108">
      <c r="A415" s="86" t="n"/>
      <c r="B415" s="86" t="n"/>
      <c r="C415" s="86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</row>
    <row r="416" ht="13.5" customHeight="1" s="108">
      <c r="A416" s="86" t="n"/>
      <c r="B416" s="86" t="n"/>
      <c r="C416" s="86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</row>
    <row r="417" ht="13.5" customHeight="1" s="108">
      <c r="A417" s="86" t="n"/>
      <c r="B417" s="86" t="n"/>
      <c r="C417" s="86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</row>
    <row r="418" ht="13.5" customHeight="1" s="108">
      <c r="A418" s="86" t="n"/>
      <c r="B418" s="86" t="n"/>
      <c r="C418" s="86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</row>
    <row r="419" ht="13.5" customHeight="1" s="108">
      <c r="A419" s="86" t="n"/>
      <c r="B419" s="86" t="n"/>
      <c r="C419" s="86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</row>
    <row r="420" ht="13.5" customHeight="1" s="108">
      <c r="A420" s="86" t="n"/>
      <c r="B420" s="86" t="n"/>
      <c r="C420" s="86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</row>
    <row r="421" ht="13.5" customHeight="1" s="108">
      <c r="A421" s="86" t="n"/>
      <c r="B421" s="86" t="n"/>
      <c r="C421" s="86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</row>
    <row r="422" ht="13.5" customHeight="1" s="108">
      <c r="A422" s="86" t="n"/>
      <c r="B422" s="86" t="n"/>
      <c r="C422" s="86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</row>
    <row r="423" ht="13.5" customHeight="1" s="108">
      <c r="A423" s="86" t="n"/>
      <c r="B423" s="86" t="n"/>
      <c r="C423" s="86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</row>
    <row r="424" ht="13.5" customHeight="1" s="108">
      <c r="A424" s="86" t="n"/>
      <c r="B424" s="86" t="n"/>
      <c r="C424" s="86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</row>
    <row r="425" ht="13.5" customHeight="1" s="108">
      <c r="A425" s="86" t="n"/>
      <c r="B425" s="86" t="n"/>
      <c r="C425" s="86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</row>
    <row r="426" ht="13.5" customHeight="1" s="108">
      <c r="A426" s="86" t="n"/>
      <c r="B426" s="86" t="n"/>
      <c r="C426" s="86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</row>
    <row r="427" ht="13.5" customHeight="1" s="108">
      <c r="A427" s="86" t="n"/>
      <c r="B427" s="86" t="n"/>
      <c r="C427" s="86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</row>
    <row r="428" ht="13.5" customHeight="1" s="108">
      <c r="A428" s="86" t="n"/>
      <c r="B428" s="86" t="n"/>
      <c r="C428" s="86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</row>
    <row r="429" ht="13.5" customHeight="1" s="108">
      <c r="A429" s="86" t="n"/>
      <c r="B429" s="86" t="n"/>
      <c r="C429" s="86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</row>
    <row r="430" ht="13.5" customHeight="1" s="108">
      <c r="A430" s="86" t="n"/>
      <c r="B430" s="86" t="n"/>
      <c r="C430" s="86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</row>
    <row r="431" ht="13.5" customHeight="1" s="108">
      <c r="A431" s="86" t="n"/>
      <c r="B431" s="86" t="n"/>
      <c r="C431" s="86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</row>
    <row r="432" ht="13.5" customHeight="1" s="108">
      <c r="A432" s="86" t="n"/>
      <c r="B432" s="86" t="n"/>
      <c r="C432" s="86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</row>
    <row r="433" ht="13.5" customHeight="1" s="108">
      <c r="A433" s="86" t="n"/>
      <c r="B433" s="86" t="n"/>
      <c r="C433" s="86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</row>
    <row r="434" ht="13.5" customHeight="1" s="108">
      <c r="A434" s="86" t="n"/>
      <c r="B434" s="86" t="n"/>
      <c r="C434" s="86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</row>
    <row r="435" ht="13.5" customHeight="1" s="108">
      <c r="A435" s="86" t="n"/>
      <c r="B435" s="86" t="n"/>
      <c r="C435" s="86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</row>
    <row r="436" ht="13.5" customHeight="1" s="108">
      <c r="A436" s="86" t="n"/>
      <c r="B436" s="86" t="n"/>
      <c r="C436" s="86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</row>
    <row r="437" ht="13.5" customHeight="1" s="108">
      <c r="A437" s="86" t="n"/>
      <c r="B437" s="86" t="n"/>
      <c r="C437" s="86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</row>
    <row r="438" ht="13.5" customHeight="1" s="108">
      <c r="A438" s="86" t="n"/>
      <c r="B438" s="86" t="n"/>
      <c r="C438" s="86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</row>
    <row r="439" ht="13.5" customHeight="1" s="108">
      <c r="A439" s="86" t="n"/>
      <c r="B439" s="86" t="n"/>
      <c r="C439" s="86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</row>
    <row r="440" ht="13.5" customHeight="1" s="108">
      <c r="A440" s="86" t="n"/>
      <c r="B440" s="86" t="n"/>
      <c r="C440" s="86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</row>
    <row r="441" ht="13.5" customHeight="1" s="108">
      <c r="A441" s="86" t="n"/>
      <c r="B441" s="86" t="n"/>
      <c r="C441" s="86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</row>
    <row r="442" ht="13.5" customHeight="1" s="108">
      <c r="A442" s="86" t="n"/>
      <c r="B442" s="86" t="n"/>
      <c r="C442" s="86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</row>
    <row r="443" ht="13.5" customHeight="1" s="108">
      <c r="A443" s="86" t="n"/>
      <c r="B443" s="86" t="n"/>
      <c r="C443" s="86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</row>
    <row r="444" ht="13.5" customHeight="1" s="108">
      <c r="A444" s="86" t="n"/>
      <c r="B444" s="86" t="n"/>
      <c r="C444" s="86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</row>
    <row r="445" ht="13.5" customHeight="1" s="108">
      <c r="A445" s="86" t="n"/>
      <c r="B445" s="86" t="n"/>
      <c r="C445" s="86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</row>
    <row r="446" ht="13.5" customHeight="1" s="108">
      <c r="A446" s="86" t="n"/>
      <c r="B446" s="86" t="n"/>
      <c r="C446" s="86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</row>
    <row r="447" ht="13.5" customHeight="1" s="108">
      <c r="A447" s="86" t="n"/>
      <c r="B447" s="86" t="n"/>
      <c r="C447" s="86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</row>
    <row r="448" ht="13.5" customHeight="1" s="108">
      <c r="A448" s="86" t="n"/>
      <c r="B448" s="86" t="n"/>
      <c r="C448" s="86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</row>
    <row r="449" ht="13.5" customHeight="1" s="108">
      <c r="A449" s="86" t="n"/>
      <c r="B449" s="86" t="n"/>
      <c r="C449" s="86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</row>
    <row r="450" ht="13.5" customHeight="1" s="108">
      <c r="A450" s="86" t="n"/>
      <c r="B450" s="86" t="n"/>
      <c r="C450" s="86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</row>
    <row r="451" ht="13.5" customHeight="1" s="108">
      <c r="A451" s="86" t="n"/>
      <c r="B451" s="86" t="n"/>
      <c r="C451" s="86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</row>
    <row r="452" ht="13.5" customHeight="1" s="108">
      <c r="A452" s="86" t="n"/>
      <c r="B452" s="86" t="n"/>
      <c r="C452" s="86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</row>
    <row r="453" ht="13.5" customHeight="1" s="108">
      <c r="A453" s="86" t="n"/>
      <c r="B453" s="86" t="n"/>
      <c r="C453" s="86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</row>
    <row r="454" ht="13.5" customHeight="1" s="108">
      <c r="A454" s="86" t="n"/>
      <c r="B454" s="86" t="n"/>
      <c r="C454" s="86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</row>
    <row r="455" ht="13.5" customHeight="1" s="108">
      <c r="A455" s="86" t="n"/>
      <c r="B455" s="86" t="n"/>
      <c r="C455" s="86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</row>
    <row r="456" ht="13.5" customHeight="1" s="108">
      <c r="A456" s="86" t="n"/>
      <c r="B456" s="86" t="n"/>
      <c r="C456" s="86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</row>
    <row r="457" ht="13.5" customHeight="1" s="108">
      <c r="A457" s="86" t="n"/>
      <c r="B457" s="86" t="n"/>
      <c r="C457" s="86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</row>
    <row r="458" ht="13.5" customHeight="1" s="108">
      <c r="A458" s="86" t="n"/>
      <c r="B458" s="86" t="n"/>
      <c r="C458" s="86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</row>
    <row r="459" ht="13.5" customHeight="1" s="108">
      <c r="A459" s="86" t="n"/>
      <c r="B459" s="86" t="n"/>
      <c r="C459" s="86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</row>
    <row r="460" ht="13.5" customHeight="1" s="108">
      <c r="A460" s="86" t="n"/>
      <c r="B460" s="86" t="n"/>
      <c r="C460" s="86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</row>
    <row r="461" ht="13.5" customHeight="1" s="108">
      <c r="A461" s="86" t="n"/>
      <c r="B461" s="86" t="n"/>
      <c r="C461" s="86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</row>
    <row r="462" ht="13.5" customHeight="1" s="108">
      <c r="A462" s="86" t="n"/>
      <c r="B462" s="86" t="n"/>
      <c r="C462" s="86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</row>
    <row r="463" ht="13.5" customHeight="1" s="108">
      <c r="A463" s="86" t="n"/>
      <c r="B463" s="86" t="n"/>
      <c r="C463" s="86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</row>
    <row r="464" ht="13.5" customHeight="1" s="108">
      <c r="A464" s="86" t="n"/>
      <c r="B464" s="86" t="n"/>
      <c r="C464" s="86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</row>
    <row r="465" ht="13.5" customHeight="1" s="108">
      <c r="A465" s="86" t="n"/>
      <c r="B465" s="86" t="n"/>
      <c r="C465" s="86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</row>
    <row r="466" ht="13.5" customHeight="1" s="108">
      <c r="A466" s="86" t="n"/>
      <c r="B466" s="86" t="n"/>
      <c r="C466" s="86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</row>
    <row r="467" ht="13.5" customHeight="1" s="108">
      <c r="A467" s="86" t="n"/>
      <c r="B467" s="86" t="n"/>
      <c r="C467" s="86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</row>
    <row r="468" ht="13.5" customHeight="1" s="108">
      <c r="A468" s="86" t="n"/>
      <c r="B468" s="86" t="n"/>
      <c r="C468" s="86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</row>
    <row r="469" ht="13.5" customHeight="1" s="108">
      <c r="A469" s="86" t="n"/>
      <c r="B469" s="86" t="n"/>
      <c r="C469" s="86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</row>
    <row r="470" ht="13.5" customHeight="1" s="108">
      <c r="A470" s="86" t="n"/>
      <c r="B470" s="86" t="n"/>
      <c r="C470" s="86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</row>
    <row r="471" ht="13.5" customHeight="1" s="108">
      <c r="A471" s="86" t="n"/>
      <c r="B471" s="86" t="n"/>
      <c r="C471" s="86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</row>
    <row r="472" ht="13.5" customHeight="1" s="108">
      <c r="A472" s="86" t="n"/>
      <c r="B472" s="86" t="n"/>
      <c r="C472" s="86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</row>
    <row r="473" ht="13.5" customHeight="1" s="108">
      <c r="A473" s="86" t="n"/>
      <c r="B473" s="86" t="n"/>
      <c r="C473" s="86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</row>
    <row r="474" ht="13.5" customHeight="1" s="108">
      <c r="A474" s="86" t="n"/>
      <c r="B474" s="86" t="n"/>
      <c r="C474" s="86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</row>
    <row r="475" ht="13.5" customHeight="1" s="108">
      <c r="A475" s="86" t="n"/>
      <c r="B475" s="86" t="n"/>
      <c r="C475" s="86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</row>
    <row r="476" ht="13.5" customHeight="1" s="108">
      <c r="A476" s="86" t="n"/>
      <c r="B476" s="86" t="n"/>
      <c r="C476" s="86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</row>
    <row r="477" ht="13.5" customHeight="1" s="108">
      <c r="A477" s="86" t="n"/>
      <c r="B477" s="86" t="n"/>
      <c r="C477" s="86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</row>
    <row r="478" ht="13.5" customHeight="1" s="108">
      <c r="A478" s="86" t="n"/>
      <c r="B478" s="86" t="n"/>
      <c r="C478" s="86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</row>
    <row r="479" ht="13.5" customHeight="1" s="108">
      <c r="A479" s="86" t="n"/>
      <c r="B479" s="86" t="n"/>
      <c r="C479" s="86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</row>
    <row r="480" ht="13.5" customHeight="1" s="108">
      <c r="A480" s="86" t="n"/>
      <c r="B480" s="86" t="n"/>
      <c r="C480" s="86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</row>
    <row r="481" ht="13.5" customHeight="1" s="108">
      <c r="A481" s="86" t="n"/>
      <c r="B481" s="86" t="n"/>
      <c r="C481" s="86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</row>
    <row r="482" ht="13.5" customHeight="1" s="108">
      <c r="A482" s="86" t="n"/>
      <c r="B482" s="86" t="n"/>
      <c r="C482" s="86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</row>
    <row r="483" ht="13.5" customHeight="1" s="108">
      <c r="A483" s="86" t="n"/>
      <c r="B483" s="86" t="n"/>
      <c r="C483" s="86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</row>
    <row r="484" ht="13.5" customHeight="1" s="108">
      <c r="A484" s="86" t="n"/>
      <c r="B484" s="86" t="n"/>
      <c r="C484" s="86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</row>
    <row r="485" ht="13.5" customHeight="1" s="108">
      <c r="A485" s="86" t="n"/>
      <c r="B485" s="86" t="n"/>
      <c r="C485" s="86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</row>
    <row r="486" ht="13.5" customHeight="1" s="108">
      <c r="A486" s="86" t="n"/>
      <c r="B486" s="86" t="n"/>
      <c r="C486" s="86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</row>
    <row r="487" ht="13.5" customHeight="1" s="108">
      <c r="A487" s="86" t="n"/>
      <c r="B487" s="86" t="n"/>
      <c r="C487" s="86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</row>
    <row r="488" ht="13.5" customHeight="1" s="108">
      <c r="A488" s="86" t="n"/>
      <c r="B488" s="86" t="n"/>
      <c r="C488" s="86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</row>
    <row r="489" ht="13.5" customHeight="1" s="108">
      <c r="A489" s="86" t="n"/>
      <c r="B489" s="86" t="n"/>
      <c r="C489" s="86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</row>
    <row r="490" ht="13.5" customHeight="1" s="108">
      <c r="A490" s="86" t="n"/>
      <c r="B490" s="86" t="n"/>
      <c r="C490" s="86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</row>
    <row r="491" ht="13.5" customHeight="1" s="108">
      <c r="A491" s="86" t="n"/>
      <c r="B491" s="86" t="n"/>
      <c r="C491" s="86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</row>
    <row r="492" ht="13.5" customHeight="1" s="108">
      <c r="A492" s="86" t="n"/>
      <c r="B492" s="86" t="n"/>
      <c r="C492" s="86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</row>
    <row r="493" ht="13.5" customHeight="1" s="108">
      <c r="A493" s="86" t="n"/>
      <c r="B493" s="86" t="n"/>
      <c r="C493" s="86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</row>
    <row r="494" ht="13.5" customHeight="1" s="108">
      <c r="A494" s="86" t="n"/>
      <c r="B494" s="86" t="n"/>
      <c r="C494" s="86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</row>
    <row r="495" ht="13.5" customHeight="1" s="108">
      <c r="A495" s="86" t="n"/>
      <c r="B495" s="86" t="n"/>
      <c r="C495" s="86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</row>
    <row r="496" ht="13.5" customHeight="1" s="108">
      <c r="A496" s="86" t="n"/>
      <c r="B496" s="86" t="n"/>
      <c r="C496" s="86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</row>
    <row r="497" ht="13.5" customHeight="1" s="108">
      <c r="A497" s="86" t="n"/>
      <c r="B497" s="86" t="n"/>
      <c r="C497" s="86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</row>
    <row r="498" ht="13.5" customHeight="1" s="108">
      <c r="A498" s="86" t="n"/>
      <c r="B498" s="86" t="n"/>
      <c r="C498" s="86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</row>
    <row r="499" ht="13.5" customHeight="1" s="108">
      <c r="A499" s="86" t="n"/>
      <c r="B499" s="86" t="n"/>
      <c r="C499" s="86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</row>
    <row r="500" ht="13.5" customHeight="1" s="108">
      <c r="A500" s="86" t="n"/>
      <c r="B500" s="86" t="n"/>
      <c r="C500" s="86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</row>
    <row r="501" ht="13.5" customHeight="1" s="108">
      <c r="A501" s="86" t="n"/>
      <c r="B501" s="86" t="n"/>
      <c r="C501" s="86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</row>
    <row r="502" ht="13.5" customHeight="1" s="108">
      <c r="A502" s="86" t="n"/>
      <c r="B502" s="86" t="n"/>
      <c r="C502" s="86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</row>
    <row r="503" ht="13.5" customHeight="1" s="108">
      <c r="A503" s="86" t="n"/>
      <c r="B503" s="86" t="n"/>
      <c r="C503" s="86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</row>
    <row r="504" ht="13.5" customHeight="1" s="108">
      <c r="A504" s="86" t="n"/>
      <c r="B504" s="86" t="n"/>
      <c r="C504" s="86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</row>
    <row r="505" ht="13.5" customHeight="1" s="108">
      <c r="A505" s="86" t="n"/>
      <c r="B505" s="86" t="n"/>
      <c r="C505" s="86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</row>
    <row r="506" ht="13.5" customHeight="1" s="108">
      <c r="A506" s="86" t="n"/>
      <c r="B506" s="86" t="n"/>
      <c r="C506" s="86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</row>
    <row r="507" ht="13.5" customHeight="1" s="108">
      <c r="A507" s="86" t="n"/>
      <c r="B507" s="86" t="n"/>
      <c r="C507" s="86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</row>
    <row r="508" ht="13.5" customHeight="1" s="108">
      <c r="A508" s="86" t="n"/>
      <c r="B508" s="86" t="n"/>
      <c r="C508" s="86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</row>
    <row r="509" ht="13.5" customHeight="1" s="108">
      <c r="A509" s="86" t="n"/>
      <c r="B509" s="86" t="n"/>
      <c r="C509" s="86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</row>
    <row r="510" ht="13.5" customHeight="1" s="108">
      <c r="A510" s="86" t="n"/>
      <c r="B510" s="86" t="n"/>
      <c r="C510" s="86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</row>
    <row r="511" ht="13.5" customHeight="1" s="108">
      <c r="A511" s="86" t="n"/>
      <c r="B511" s="86" t="n"/>
      <c r="C511" s="86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</row>
    <row r="512" ht="13.5" customHeight="1" s="108">
      <c r="A512" s="86" t="n"/>
      <c r="B512" s="86" t="n"/>
      <c r="C512" s="86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</row>
    <row r="513" ht="13.5" customHeight="1" s="108">
      <c r="A513" s="86" t="n"/>
      <c r="B513" s="86" t="n"/>
      <c r="C513" s="86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</row>
    <row r="514" ht="13.5" customHeight="1" s="108">
      <c r="A514" s="86" t="n"/>
      <c r="B514" s="86" t="n"/>
      <c r="C514" s="86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</row>
    <row r="515" ht="13.5" customHeight="1" s="108">
      <c r="A515" s="86" t="n"/>
      <c r="B515" s="86" t="n"/>
      <c r="C515" s="86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</row>
    <row r="516" ht="13.5" customHeight="1" s="108">
      <c r="A516" s="86" t="n"/>
      <c r="B516" s="86" t="n"/>
      <c r="C516" s="86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</row>
    <row r="517" ht="13.5" customHeight="1" s="108">
      <c r="A517" s="86" t="n"/>
      <c r="B517" s="86" t="n"/>
      <c r="C517" s="86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</row>
    <row r="518" ht="13.5" customHeight="1" s="108">
      <c r="A518" s="86" t="n"/>
      <c r="B518" s="86" t="n"/>
      <c r="C518" s="86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</row>
    <row r="519" ht="13.5" customHeight="1" s="108">
      <c r="A519" s="86" t="n"/>
      <c r="B519" s="86" t="n"/>
      <c r="C519" s="86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</row>
    <row r="520" ht="13.5" customHeight="1" s="108">
      <c r="A520" s="86" t="n"/>
      <c r="B520" s="86" t="n"/>
      <c r="C520" s="86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</row>
    <row r="521" ht="13.5" customHeight="1" s="108">
      <c r="A521" s="86" t="n"/>
      <c r="B521" s="86" t="n"/>
      <c r="C521" s="86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</row>
    <row r="522" ht="13.5" customHeight="1" s="108">
      <c r="A522" s="86" t="n"/>
      <c r="B522" s="86" t="n"/>
      <c r="C522" s="86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</row>
    <row r="523" ht="13.5" customHeight="1" s="108">
      <c r="A523" s="86" t="n"/>
      <c r="B523" s="86" t="n"/>
      <c r="C523" s="86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</row>
    <row r="524" ht="13.5" customHeight="1" s="108">
      <c r="A524" s="86" t="n"/>
      <c r="B524" s="86" t="n"/>
      <c r="C524" s="86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</row>
    <row r="525" ht="13.5" customHeight="1" s="108">
      <c r="A525" s="86" t="n"/>
      <c r="B525" s="86" t="n"/>
      <c r="C525" s="86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</row>
    <row r="526" ht="13.5" customHeight="1" s="108">
      <c r="A526" s="86" t="n"/>
      <c r="B526" s="86" t="n"/>
      <c r="C526" s="86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</row>
    <row r="527" ht="13.5" customHeight="1" s="108">
      <c r="A527" s="86" t="n"/>
      <c r="B527" s="86" t="n"/>
      <c r="C527" s="86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</row>
    <row r="528" ht="13.5" customHeight="1" s="108">
      <c r="A528" s="86" t="n"/>
      <c r="B528" s="86" t="n"/>
      <c r="C528" s="86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</row>
    <row r="529" ht="13.5" customHeight="1" s="108">
      <c r="A529" s="86" t="n"/>
      <c r="B529" s="86" t="n"/>
      <c r="C529" s="86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</row>
    <row r="530" ht="13.5" customHeight="1" s="108">
      <c r="A530" s="86" t="n"/>
      <c r="B530" s="86" t="n"/>
      <c r="C530" s="86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</row>
    <row r="531" ht="13.5" customHeight="1" s="108">
      <c r="A531" s="86" t="n"/>
      <c r="B531" s="86" t="n"/>
      <c r="C531" s="86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</row>
    <row r="532" ht="13.5" customHeight="1" s="108">
      <c r="A532" s="86" t="n"/>
      <c r="B532" s="86" t="n"/>
      <c r="C532" s="86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</row>
    <row r="533" ht="13.5" customHeight="1" s="108">
      <c r="A533" s="86" t="n"/>
      <c r="B533" s="86" t="n"/>
      <c r="C533" s="86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</row>
    <row r="534" ht="13.5" customHeight="1" s="108">
      <c r="A534" s="86" t="n"/>
      <c r="B534" s="86" t="n"/>
      <c r="C534" s="86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</row>
    <row r="535" ht="13.5" customHeight="1" s="108">
      <c r="A535" s="86" t="n"/>
      <c r="B535" s="86" t="n"/>
      <c r="C535" s="86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</row>
    <row r="536" ht="13.5" customHeight="1" s="108">
      <c r="A536" s="86" t="n"/>
      <c r="B536" s="86" t="n"/>
      <c r="C536" s="86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</row>
    <row r="537" ht="13.5" customHeight="1" s="108">
      <c r="A537" s="86" t="n"/>
      <c r="B537" s="86" t="n"/>
      <c r="C537" s="86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</row>
    <row r="538" ht="13.5" customHeight="1" s="108">
      <c r="A538" s="86" t="n"/>
      <c r="B538" s="86" t="n"/>
      <c r="C538" s="86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</row>
    <row r="539" ht="13.5" customHeight="1" s="108">
      <c r="A539" s="86" t="n"/>
      <c r="B539" s="86" t="n"/>
      <c r="C539" s="86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</row>
    <row r="540" ht="13.5" customHeight="1" s="108">
      <c r="A540" s="86" t="n"/>
      <c r="B540" s="86" t="n"/>
      <c r="C540" s="86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</row>
    <row r="541" ht="13.5" customHeight="1" s="108">
      <c r="A541" s="86" t="n"/>
      <c r="B541" s="86" t="n"/>
      <c r="C541" s="86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</row>
    <row r="542" ht="13.5" customHeight="1" s="108">
      <c r="A542" s="86" t="n"/>
      <c r="B542" s="86" t="n"/>
      <c r="C542" s="86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</row>
    <row r="543" ht="13.5" customHeight="1" s="108">
      <c r="A543" s="86" t="n"/>
      <c r="B543" s="86" t="n"/>
      <c r="C543" s="86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</row>
    <row r="544" ht="13.5" customHeight="1" s="108">
      <c r="A544" s="86" t="n"/>
      <c r="B544" s="86" t="n"/>
      <c r="C544" s="86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</row>
    <row r="545" ht="13.5" customHeight="1" s="108">
      <c r="A545" s="86" t="n"/>
      <c r="B545" s="86" t="n"/>
      <c r="C545" s="86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</row>
    <row r="546" ht="13.5" customHeight="1" s="108">
      <c r="A546" s="86" t="n"/>
      <c r="B546" s="86" t="n"/>
      <c r="C546" s="86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</row>
    <row r="547" ht="13.5" customHeight="1" s="108">
      <c r="A547" s="86" t="n"/>
      <c r="B547" s="86" t="n"/>
      <c r="C547" s="86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</row>
    <row r="548" ht="13.5" customHeight="1" s="108">
      <c r="A548" s="86" t="n"/>
      <c r="B548" s="86" t="n"/>
      <c r="C548" s="86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</row>
    <row r="549" ht="13.5" customHeight="1" s="108">
      <c r="A549" s="86" t="n"/>
      <c r="B549" s="86" t="n"/>
      <c r="C549" s="86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</row>
    <row r="550" ht="13.5" customHeight="1" s="108">
      <c r="A550" s="86" t="n"/>
      <c r="B550" s="86" t="n"/>
      <c r="C550" s="86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</row>
    <row r="551" ht="13.5" customHeight="1" s="108">
      <c r="A551" s="86" t="n"/>
      <c r="B551" s="86" t="n"/>
      <c r="C551" s="86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</row>
    <row r="552" ht="13.5" customHeight="1" s="108">
      <c r="A552" s="86" t="n"/>
      <c r="B552" s="86" t="n"/>
      <c r="C552" s="86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</row>
    <row r="553" ht="13.5" customHeight="1" s="108">
      <c r="A553" s="86" t="n"/>
      <c r="B553" s="86" t="n"/>
      <c r="C553" s="86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</row>
    <row r="554" ht="13.5" customHeight="1" s="108">
      <c r="A554" s="86" t="n"/>
      <c r="B554" s="86" t="n"/>
      <c r="C554" s="86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</row>
    <row r="555" ht="13.5" customHeight="1" s="108">
      <c r="A555" s="86" t="n"/>
      <c r="B555" s="86" t="n"/>
      <c r="C555" s="86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</row>
    <row r="556" ht="13.5" customHeight="1" s="108">
      <c r="A556" s="86" t="n"/>
      <c r="B556" s="86" t="n"/>
      <c r="C556" s="86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</row>
    <row r="557" ht="13.5" customHeight="1" s="108">
      <c r="A557" s="86" t="n"/>
      <c r="B557" s="86" t="n"/>
      <c r="C557" s="86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</row>
    <row r="558" ht="13.5" customHeight="1" s="108">
      <c r="A558" s="86" t="n"/>
      <c r="B558" s="86" t="n"/>
      <c r="C558" s="86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</row>
    <row r="559" ht="13.5" customHeight="1" s="108">
      <c r="A559" s="86" t="n"/>
      <c r="B559" s="86" t="n"/>
      <c r="C559" s="86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</row>
    <row r="560" ht="13.5" customHeight="1" s="108">
      <c r="A560" s="86" t="n"/>
      <c r="B560" s="86" t="n"/>
      <c r="C560" s="86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</row>
    <row r="561" ht="13.5" customHeight="1" s="108">
      <c r="A561" s="86" t="n"/>
      <c r="B561" s="86" t="n"/>
      <c r="C561" s="86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</row>
    <row r="562" ht="13.5" customHeight="1" s="108">
      <c r="A562" s="86" t="n"/>
      <c r="B562" s="86" t="n"/>
      <c r="C562" s="86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</row>
    <row r="563" ht="13.5" customHeight="1" s="108">
      <c r="A563" s="86" t="n"/>
      <c r="B563" s="86" t="n"/>
      <c r="C563" s="86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</row>
    <row r="564" ht="13.5" customHeight="1" s="108">
      <c r="A564" s="86" t="n"/>
      <c r="B564" s="86" t="n"/>
      <c r="C564" s="86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</row>
    <row r="565" ht="13.5" customHeight="1" s="108">
      <c r="A565" s="86" t="n"/>
      <c r="B565" s="86" t="n"/>
      <c r="C565" s="86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</row>
    <row r="566" ht="13.5" customHeight="1" s="108">
      <c r="A566" s="86" t="n"/>
      <c r="B566" s="86" t="n"/>
      <c r="C566" s="86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</row>
    <row r="567" ht="13.5" customHeight="1" s="108">
      <c r="A567" s="86" t="n"/>
      <c r="B567" s="86" t="n"/>
      <c r="C567" s="86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</row>
    <row r="568" ht="13.5" customHeight="1" s="108">
      <c r="A568" s="86" t="n"/>
      <c r="B568" s="86" t="n"/>
      <c r="C568" s="86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</row>
    <row r="569" ht="13.5" customHeight="1" s="108">
      <c r="A569" s="86" t="n"/>
      <c r="B569" s="86" t="n"/>
      <c r="C569" s="86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</row>
    <row r="570" ht="13.5" customHeight="1" s="108">
      <c r="A570" s="86" t="n"/>
      <c r="B570" s="86" t="n"/>
      <c r="C570" s="86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</row>
    <row r="571" ht="13.5" customHeight="1" s="108">
      <c r="A571" s="86" t="n"/>
      <c r="B571" s="86" t="n"/>
      <c r="C571" s="86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</row>
    <row r="572" ht="13.5" customHeight="1" s="108">
      <c r="A572" s="86" t="n"/>
      <c r="B572" s="86" t="n"/>
      <c r="C572" s="86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</row>
    <row r="573" ht="13.5" customHeight="1" s="108">
      <c r="A573" s="86" t="n"/>
      <c r="B573" s="86" t="n"/>
      <c r="C573" s="86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</row>
    <row r="574" ht="13.5" customHeight="1" s="108">
      <c r="A574" s="86" t="n"/>
      <c r="B574" s="86" t="n"/>
      <c r="C574" s="86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</row>
    <row r="575" ht="13.5" customHeight="1" s="108">
      <c r="A575" s="86" t="n"/>
      <c r="B575" s="86" t="n"/>
      <c r="C575" s="86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</row>
    <row r="576" ht="13.5" customHeight="1" s="108">
      <c r="A576" s="86" t="n"/>
      <c r="B576" s="86" t="n"/>
      <c r="C576" s="86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</row>
    <row r="577" ht="13.5" customHeight="1" s="108">
      <c r="A577" s="86" t="n"/>
      <c r="B577" s="86" t="n"/>
      <c r="C577" s="86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</row>
    <row r="578" ht="13.5" customHeight="1" s="108">
      <c r="A578" s="86" t="n"/>
      <c r="B578" s="86" t="n"/>
      <c r="C578" s="86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</row>
    <row r="579" ht="13.5" customHeight="1" s="108">
      <c r="A579" s="86" t="n"/>
      <c r="B579" s="86" t="n"/>
      <c r="C579" s="86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</row>
    <row r="580" ht="13.5" customHeight="1" s="108">
      <c r="A580" s="86" t="n"/>
      <c r="B580" s="86" t="n"/>
      <c r="C580" s="86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</row>
    <row r="581" ht="13.5" customHeight="1" s="108">
      <c r="A581" s="86" t="n"/>
      <c r="B581" s="86" t="n"/>
      <c r="C581" s="86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</row>
    <row r="582" ht="13.5" customHeight="1" s="108">
      <c r="A582" s="86" t="n"/>
      <c r="B582" s="86" t="n"/>
      <c r="C582" s="86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</row>
    <row r="583" ht="13.5" customHeight="1" s="108">
      <c r="A583" s="86" t="n"/>
      <c r="B583" s="86" t="n"/>
      <c r="C583" s="86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</row>
    <row r="584" ht="13.5" customHeight="1" s="108">
      <c r="A584" s="86" t="n"/>
      <c r="B584" s="86" t="n"/>
      <c r="C584" s="86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</row>
    <row r="585" ht="13.5" customHeight="1" s="108">
      <c r="A585" s="86" t="n"/>
      <c r="B585" s="86" t="n"/>
      <c r="C585" s="86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</row>
    <row r="586" ht="13.5" customHeight="1" s="108">
      <c r="A586" s="86" t="n"/>
      <c r="B586" s="86" t="n"/>
      <c r="C586" s="86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</row>
    <row r="587" ht="13.5" customHeight="1" s="108">
      <c r="A587" s="86" t="n"/>
      <c r="B587" s="86" t="n"/>
      <c r="C587" s="86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</row>
    <row r="588" ht="13.5" customHeight="1" s="108">
      <c r="A588" s="86" t="n"/>
      <c r="B588" s="86" t="n"/>
      <c r="C588" s="86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</row>
    <row r="589" ht="13.5" customHeight="1" s="108">
      <c r="A589" s="86" t="n"/>
      <c r="B589" s="86" t="n"/>
      <c r="C589" s="86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</row>
    <row r="590" ht="13.5" customHeight="1" s="108">
      <c r="A590" s="86" t="n"/>
      <c r="B590" s="86" t="n"/>
      <c r="C590" s="86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</row>
    <row r="591" ht="13.5" customHeight="1" s="108">
      <c r="A591" s="86" t="n"/>
      <c r="B591" s="86" t="n"/>
      <c r="C591" s="86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</row>
    <row r="592" ht="13.5" customHeight="1" s="108">
      <c r="A592" s="86" t="n"/>
      <c r="B592" s="86" t="n"/>
      <c r="C592" s="86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</row>
    <row r="593" ht="13.5" customHeight="1" s="108">
      <c r="A593" s="86" t="n"/>
      <c r="B593" s="86" t="n"/>
      <c r="C593" s="86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</row>
    <row r="594" ht="13.5" customHeight="1" s="108">
      <c r="A594" s="86" t="n"/>
      <c r="B594" s="86" t="n"/>
      <c r="C594" s="86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</row>
    <row r="595" ht="13.5" customHeight="1" s="108">
      <c r="A595" s="86" t="n"/>
      <c r="B595" s="86" t="n"/>
      <c r="C595" s="86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</row>
    <row r="596" ht="13.5" customHeight="1" s="108">
      <c r="A596" s="86" t="n"/>
      <c r="B596" s="86" t="n"/>
      <c r="C596" s="86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</row>
    <row r="597" ht="13.5" customHeight="1" s="108">
      <c r="A597" s="86" t="n"/>
      <c r="B597" s="86" t="n"/>
      <c r="C597" s="86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</row>
    <row r="598" ht="13.5" customHeight="1" s="108">
      <c r="A598" s="86" t="n"/>
      <c r="B598" s="86" t="n"/>
      <c r="C598" s="86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</row>
    <row r="599" ht="13.5" customHeight="1" s="108">
      <c r="A599" s="86" t="n"/>
      <c r="B599" s="86" t="n"/>
      <c r="C599" s="86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</row>
    <row r="600" ht="13.5" customHeight="1" s="108">
      <c r="A600" s="86" t="n"/>
      <c r="B600" s="86" t="n"/>
      <c r="C600" s="86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</row>
    <row r="601" ht="13.5" customHeight="1" s="108">
      <c r="A601" s="86" t="n"/>
      <c r="B601" s="86" t="n"/>
      <c r="C601" s="86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</row>
    <row r="602" ht="13.5" customHeight="1" s="108">
      <c r="A602" s="86" t="n"/>
      <c r="B602" s="86" t="n"/>
      <c r="C602" s="86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</row>
    <row r="603" ht="13.5" customHeight="1" s="108">
      <c r="A603" s="86" t="n"/>
      <c r="B603" s="86" t="n"/>
      <c r="C603" s="86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</row>
    <row r="604" ht="13.5" customHeight="1" s="108">
      <c r="A604" s="86" t="n"/>
      <c r="B604" s="86" t="n"/>
      <c r="C604" s="86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</row>
    <row r="605" ht="13.5" customHeight="1" s="108">
      <c r="A605" s="86" t="n"/>
      <c r="B605" s="86" t="n"/>
      <c r="C605" s="86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</row>
    <row r="606" ht="13.5" customHeight="1" s="108">
      <c r="A606" s="86" t="n"/>
      <c r="B606" s="86" t="n"/>
      <c r="C606" s="86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</row>
    <row r="607" ht="13.5" customHeight="1" s="108">
      <c r="A607" s="86" t="n"/>
      <c r="B607" s="86" t="n"/>
      <c r="C607" s="86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</row>
    <row r="608" ht="13.5" customHeight="1" s="108">
      <c r="A608" s="86" t="n"/>
      <c r="B608" s="86" t="n"/>
      <c r="C608" s="86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</row>
    <row r="609" ht="13.5" customHeight="1" s="108">
      <c r="A609" s="86" t="n"/>
      <c r="B609" s="86" t="n"/>
      <c r="C609" s="86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</row>
    <row r="610" ht="13.5" customHeight="1" s="108">
      <c r="A610" s="86" t="n"/>
      <c r="B610" s="86" t="n"/>
      <c r="C610" s="86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</row>
    <row r="611" ht="13.5" customHeight="1" s="108">
      <c r="A611" s="86" t="n"/>
      <c r="B611" s="86" t="n"/>
      <c r="C611" s="86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</row>
    <row r="612" ht="13.5" customHeight="1" s="108">
      <c r="A612" s="86" t="n"/>
      <c r="B612" s="86" t="n"/>
      <c r="C612" s="86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</row>
    <row r="613" ht="13.5" customHeight="1" s="108">
      <c r="A613" s="86" t="n"/>
      <c r="B613" s="86" t="n"/>
      <c r="C613" s="86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</row>
    <row r="614" ht="13.5" customHeight="1" s="108">
      <c r="A614" s="86" t="n"/>
      <c r="B614" s="86" t="n"/>
      <c r="C614" s="86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</row>
    <row r="615" ht="13.5" customHeight="1" s="108">
      <c r="A615" s="86" t="n"/>
      <c r="B615" s="86" t="n"/>
      <c r="C615" s="86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</row>
    <row r="616" ht="13.5" customHeight="1" s="108">
      <c r="A616" s="86" t="n"/>
      <c r="B616" s="86" t="n"/>
      <c r="C616" s="86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</row>
    <row r="617" ht="13.5" customHeight="1" s="108">
      <c r="A617" s="86" t="n"/>
      <c r="B617" s="86" t="n"/>
      <c r="C617" s="86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</row>
    <row r="618" ht="13.5" customHeight="1" s="108">
      <c r="A618" s="86" t="n"/>
      <c r="B618" s="86" t="n"/>
      <c r="C618" s="86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</row>
    <row r="619" ht="13.5" customHeight="1" s="108">
      <c r="A619" s="86" t="n"/>
      <c r="B619" s="86" t="n"/>
      <c r="C619" s="86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</row>
    <row r="620" ht="13.5" customHeight="1" s="108">
      <c r="A620" s="86" t="n"/>
      <c r="B620" s="86" t="n"/>
      <c r="C620" s="86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</row>
    <row r="621" ht="13.5" customHeight="1" s="108">
      <c r="A621" s="86" t="n"/>
      <c r="B621" s="86" t="n"/>
      <c r="C621" s="86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</row>
    <row r="622" ht="13.5" customHeight="1" s="108">
      <c r="A622" s="86" t="n"/>
      <c r="B622" s="86" t="n"/>
      <c r="C622" s="86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</row>
    <row r="623" ht="13.5" customHeight="1" s="108">
      <c r="A623" s="86" t="n"/>
      <c r="B623" s="86" t="n"/>
      <c r="C623" s="86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</row>
    <row r="624" ht="13.5" customHeight="1" s="108">
      <c r="A624" s="86" t="n"/>
      <c r="B624" s="86" t="n"/>
      <c r="C624" s="86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</row>
    <row r="625" ht="13.5" customHeight="1" s="108">
      <c r="A625" s="86" t="n"/>
      <c r="B625" s="86" t="n"/>
      <c r="C625" s="86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</row>
    <row r="626" ht="13.5" customHeight="1" s="108">
      <c r="A626" s="86" t="n"/>
      <c r="B626" s="86" t="n"/>
      <c r="C626" s="86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</row>
    <row r="627" ht="13.5" customHeight="1" s="108">
      <c r="A627" s="86" t="n"/>
      <c r="B627" s="86" t="n"/>
      <c r="C627" s="86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</row>
    <row r="628" ht="13.5" customHeight="1" s="108">
      <c r="A628" s="86" t="n"/>
      <c r="B628" s="86" t="n"/>
      <c r="C628" s="86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</row>
    <row r="629" ht="13.5" customHeight="1" s="108">
      <c r="A629" s="86" t="n"/>
      <c r="B629" s="86" t="n"/>
      <c r="C629" s="86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</row>
    <row r="630" ht="13.5" customHeight="1" s="108">
      <c r="A630" s="86" t="n"/>
      <c r="B630" s="86" t="n"/>
      <c r="C630" s="86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</row>
    <row r="631" ht="13.5" customHeight="1" s="108">
      <c r="A631" s="86" t="n"/>
      <c r="B631" s="86" t="n"/>
      <c r="C631" s="86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</row>
    <row r="632" ht="13.5" customHeight="1" s="108">
      <c r="A632" s="86" t="n"/>
      <c r="B632" s="86" t="n"/>
      <c r="C632" s="86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</row>
    <row r="633" ht="13.5" customHeight="1" s="108">
      <c r="A633" s="86" t="n"/>
      <c r="B633" s="86" t="n"/>
      <c r="C633" s="86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</row>
    <row r="634" ht="13.5" customHeight="1" s="108">
      <c r="A634" s="86" t="n"/>
      <c r="B634" s="86" t="n"/>
      <c r="C634" s="86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</row>
    <row r="635" ht="13.5" customHeight="1" s="108">
      <c r="A635" s="86" t="n"/>
      <c r="B635" s="86" t="n"/>
      <c r="C635" s="86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</row>
    <row r="636" ht="13.5" customHeight="1" s="108">
      <c r="A636" s="86" t="n"/>
      <c r="B636" s="86" t="n"/>
      <c r="C636" s="86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</row>
    <row r="637" ht="13.5" customHeight="1" s="108">
      <c r="A637" s="86" t="n"/>
      <c r="B637" s="86" t="n"/>
      <c r="C637" s="86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</row>
    <row r="638" ht="13.5" customHeight="1" s="108">
      <c r="A638" s="86" t="n"/>
      <c r="B638" s="86" t="n"/>
      <c r="C638" s="86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</row>
    <row r="639" ht="13.5" customHeight="1" s="108">
      <c r="A639" s="86" t="n"/>
      <c r="B639" s="86" t="n"/>
      <c r="C639" s="86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</row>
    <row r="640" ht="13.5" customHeight="1" s="108">
      <c r="A640" s="86" t="n"/>
      <c r="B640" s="86" t="n"/>
      <c r="C640" s="86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</row>
    <row r="641" ht="13.5" customHeight="1" s="108">
      <c r="A641" s="86" t="n"/>
      <c r="B641" s="86" t="n"/>
      <c r="C641" s="86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</row>
    <row r="642" ht="13.5" customHeight="1" s="108">
      <c r="A642" s="86" t="n"/>
      <c r="B642" s="86" t="n"/>
      <c r="C642" s="86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</row>
    <row r="643" ht="13.5" customHeight="1" s="108">
      <c r="A643" s="86" t="n"/>
      <c r="B643" s="86" t="n"/>
      <c r="C643" s="86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</row>
    <row r="644" ht="13.5" customHeight="1" s="108">
      <c r="A644" s="86" t="n"/>
      <c r="B644" s="86" t="n"/>
      <c r="C644" s="86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</row>
    <row r="645" ht="13.5" customHeight="1" s="108">
      <c r="A645" s="86" t="n"/>
      <c r="B645" s="86" t="n"/>
      <c r="C645" s="86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</row>
    <row r="646" ht="13.5" customHeight="1" s="108">
      <c r="A646" s="86" t="n"/>
      <c r="B646" s="86" t="n"/>
      <c r="C646" s="86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</row>
    <row r="647" ht="13.5" customHeight="1" s="108">
      <c r="A647" s="86" t="n"/>
      <c r="B647" s="86" t="n"/>
      <c r="C647" s="86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</row>
    <row r="648" ht="13.5" customHeight="1" s="108">
      <c r="A648" s="86" t="n"/>
      <c r="B648" s="86" t="n"/>
      <c r="C648" s="86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</row>
    <row r="649" ht="13.5" customHeight="1" s="108">
      <c r="A649" s="86" t="n"/>
      <c r="B649" s="86" t="n"/>
      <c r="C649" s="86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</row>
    <row r="650" ht="13.5" customHeight="1" s="108">
      <c r="A650" s="86" t="n"/>
      <c r="B650" s="86" t="n"/>
      <c r="C650" s="86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</row>
    <row r="651" ht="13.5" customHeight="1" s="108">
      <c r="A651" s="86" t="n"/>
      <c r="B651" s="86" t="n"/>
      <c r="C651" s="86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</row>
    <row r="652" ht="13.5" customHeight="1" s="108">
      <c r="A652" s="86" t="n"/>
      <c r="B652" s="86" t="n"/>
      <c r="C652" s="86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</row>
    <row r="653" ht="13.5" customHeight="1" s="108">
      <c r="A653" s="86" t="n"/>
      <c r="B653" s="86" t="n"/>
      <c r="C653" s="86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</row>
    <row r="654" ht="13.5" customHeight="1" s="108">
      <c r="A654" s="86" t="n"/>
      <c r="B654" s="86" t="n"/>
      <c r="C654" s="86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</row>
    <row r="655" ht="13.5" customHeight="1" s="108">
      <c r="A655" s="86" t="n"/>
      <c r="B655" s="86" t="n"/>
      <c r="C655" s="86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</row>
    <row r="656" ht="13.5" customHeight="1" s="108">
      <c r="A656" s="86" t="n"/>
      <c r="B656" s="86" t="n"/>
      <c r="C656" s="86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</row>
    <row r="657" ht="13.5" customHeight="1" s="108">
      <c r="A657" s="86" t="n"/>
      <c r="B657" s="86" t="n"/>
      <c r="C657" s="86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</row>
    <row r="658" ht="13.5" customHeight="1" s="108">
      <c r="A658" s="86" t="n"/>
      <c r="B658" s="86" t="n"/>
      <c r="C658" s="86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</row>
    <row r="659" ht="13.5" customHeight="1" s="108">
      <c r="A659" s="86" t="n"/>
      <c r="B659" s="86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</row>
    <row r="660" ht="13.5" customHeight="1" s="108">
      <c r="A660" s="86" t="n"/>
      <c r="B660" s="86" t="n"/>
      <c r="C660" s="86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</row>
    <row r="661" ht="13.5" customHeight="1" s="108">
      <c r="A661" s="86" t="n"/>
      <c r="B661" s="86" t="n"/>
      <c r="C661" s="86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</row>
    <row r="662" ht="13.5" customHeight="1" s="108">
      <c r="A662" s="86" t="n"/>
      <c r="B662" s="86" t="n"/>
      <c r="C662" s="86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</row>
    <row r="663" ht="13.5" customHeight="1" s="108">
      <c r="A663" s="86" t="n"/>
      <c r="B663" s="86" t="n"/>
      <c r="C663" s="86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</row>
    <row r="664" ht="13.5" customHeight="1" s="108">
      <c r="A664" s="86" t="n"/>
      <c r="B664" s="86" t="n"/>
      <c r="C664" s="86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</row>
    <row r="665" ht="13.5" customHeight="1" s="108">
      <c r="A665" s="86" t="n"/>
      <c r="B665" s="86" t="n"/>
      <c r="C665" s="86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</row>
    <row r="666" ht="13.5" customHeight="1" s="108">
      <c r="A666" s="86" t="n"/>
      <c r="B666" s="86" t="n"/>
      <c r="C666" s="86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</row>
    <row r="667" ht="13.5" customHeight="1" s="108">
      <c r="A667" s="86" t="n"/>
      <c r="B667" s="86" t="n"/>
      <c r="C667" s="86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</row>
    <row r="668" ht="13.5" customHeight="1" s="108">
      <c r="A668" s="86" t="n"/>
      <c r="B668" s="86" t="n"/>
      <c r="C668" s="86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</row>
    <row r="669" ht="13.5" customHeight="1" s="108">
      <c r="A669" s="86" t="n"/>
      <c r="B669" s="86" t="n"/>
      <c r="C669" s="86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</row>
    <row r="670" ht="13.5" customHeight="1" s="108">
      <c r="A670" s="86" t="n"/>
      <c r="B670" s="86" t="n"/>
      <c r="C670" s="86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</row>
    <row r="671" ht="13.5" customHeight="1" s="108">
      <c r="A671" s="86" t="n"/>
      <c r="B671" s="86" t="n"/>
      <c r="C671" s="86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</row>
    <row r="672" ht="13.5" customHeight="1" s="108">
      <c r="A672" s="86" t="n"/>
      <c r="B672" s="86" t="n"/>
      <c r="C672" s="86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</row>
    <row r="673" ht="13.5" customHeight="1" s="108">
      <c r="A673" s="86" t="n"/>
      <c r="B673" s="86" t="n"/>
      <c r="C673" s="86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</row>
    <row r="674" ht="13.5" customHeight="1" s="108">
      <c r="A674" s="86" t="n"/>
      <c r="B674" s="86" t="n"/>
      <c r="C674" s="86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</row>
    <row r="675" ht="13.5" customHeight="1" s="108">
      <c r="A675" s="86" t="n"/>
      <c r="B675" s="86" t="n"/>
      <c r="C675" s="86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</row>
    <row r="676" ht="13.5" customHeight="1" s="108">
      <c r="A676" s="86" t="n"/>
      <c r="B676" s="86" t="n"/>
      <c r="C676" s="86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</row>
    <row r="677" ht="13.5" customHeight="1" s="108">
      <c r="A677" s="86" t="n"/>
      <c r="B677" s="86" t="n"/>
      <c r="C677" s="86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</row>
    <row r="678" ht="13.5" customHeight="1" s="108">
      <c r="A678" s="86" t="n"/>
      <c r="B678" s="86" t="n"/>
      <c r="C678" s="86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</row>
    <row r="679" ht="13.5" customHeight="1" s="108">
      <c r="A679" s="86" t="n"/>
      <c r="B679" s="86" t="n"/>
      <c r="C679" s="86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</row>
    <row r="680" ht="13.5" customHeight="1" s="108">
      <c r="A680" s="86" t="n"/>
      <c r="B680" s="86" t="n"/>
      <c r="C680" s="86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</row>
    <row r="681" ht="13.5" customHeight="1" s="108">
      <c r="A681" s="86" t="n"/>
      <c r="B681" s="86" t="n"/>
      <c r="C681" s="86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</row>
    <row r="682" ht="13.5" customHeight="1" s="108">
      <c r="A682" s="86" t="n"/>
      <c r="B682" s="86" t="n"/>
      <c r="C682" s="86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</row>
    <row r="683" ht="13.5" customHeight="1" s="108">
      <c r="A683" s="86" t="n"/>
      <c r="B683" s="86" t="n"/>
      <c r="C683" s="86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</row>
    <row r="684" ht="13.5" customHeight="1" s="108">
      <c r="A684" s="86" t="n"/>
      <c r="B684" s="86" t="n"/>
      <c r="C684" s="86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</row>
    <row r="685" ht="13.5" customHeight="1" s="108">
      <c r="A685" s="86" t="n"/>
      <c r="B685" s="86" t="n"/>
      <c r="C685" s="86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</row>
    <row r="686" ht="13.5" customHeight="1" s="108">
      <c r="A686" s="86" t="n"/>
      <c r="B686" s="86" t="n"/>
      <c r="C686" s="86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</row>
    <row r="687" ht="13.5" customHeight="1" s="108">
      <c r="A687" s="86" t="n"/>
      <c r="B687" s="86" t="n"/>
      <c r="C687" s="86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</row>
    <row r="688" ht="13.5" customHeight="1" s="108">
      <c r="A688" s="86" t="n"/>
      <c r="B688" s="86" t="n"/>
      <c r="C688" s="86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</row>
    <row r="689" ht="13.5" customHeight="1" s="108">
      <c r="A689" s="86" t="n"/>
      <c r="B689" s="86" t="n"/>
      <c r="C689" s="86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</row>
    <row r="690" ht="13.5" customHeight="1" s="108">
      <c r="A690" s="86" t="n"/>
      <c r="B690" s="86" t="n"/>
      <c r="C690" s="86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</row>
    <row r="691" ht="13.5" customHeight="1" s="108">
      <c r="A691" s="86" t="n"/>
      <c r="B691" s="86" t="n"/>
      <c r="C691" s="86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</row>
    <row r="692" ht="13.5" customHeight="1" s="108">
      <c r="A692" s="86" t="n"/>
      <c r="B692" s="86" t="n"/>
      <c r="C692" s="86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</row>
    <row r="693" ht="13.5" customHeight="1" s="108">
      <c r="A693" s="86" t="n"/>
      <c r="B693" s="86" t="n"/>
      <c r="C693" s="86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</row>
    <row r="694" ht="13.5" customHeight="1" s="108">
      <c r="A694" s="86" t="n"/>
      <c r="B694" s="86" t="n"/>
      <c r="C694" s="86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</row>
    <row r="695" ht="13.5" customHeight="1" s="108">
      <c r="A695" s="86" t="n"/>
      <c r="B695" s="86" t="n"/>
      <c r="C695" s="86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</row>
    <row r="696" ht="13.5" customHeight="1" s="108">
      <c r="A696" s="86" t="n"/>
      <c r="B696" s="86" t="n"/>
      <c r="C696" s="86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</row>
    <row r="697" ht="13.5" customHeight="1" s="108">
      <c r="A697" s="86" t="n"/>
      <c r="B697" s="86" t="n"/>
      <c r="C697" s="86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</row>
    <row r="698" ht="13.5" customHeight="1" s="108">
      <c r="A698" s="86" t="n"/>
      <c r="B698" s="86" t="n"/>
      <c r="C698" s="86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</row>
    <row r="699" ht="13.5" customHeight="1" s="108">
      <c r="A699" s="86" t="n"/>
      <c r="B699" s="86" t="n"/>
      <c r="C699" s="86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</row>
    <row r="700" ht="13.5" customHeight="1" s="108">
      <c r="A700" s="86" t="n"/>
      <c r="B700" s="86" t="n"/>
      <c r="C700" s="86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</row>
    <row r="701" ht="13.5" customHeight="1" s="108">
      <c r="A701" s="86" t="n"/>
      <c r="B701" s="86" t="n"/>
      <c r="C701" s="86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</row>
    <row r="702" ht="13.5" customHeight="1" s="108">
      <c r="A702" s="86" t="n"/>
      <c r="B702" s="86" t="n"/>
      <c r="C702" s="86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</row>
    <row r="703" ht="13.5" customHeight="1" s="108">
      <c r="A703" s="86" t="n"/>
      <c r="B703" s="86" t="n"/>
      <c r="C703" s="86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</row>
    <row r="704" ht="13.5" customHeight="1" s="108">
      <c r="A704" s="86" t="n"/>
      <c r="B704" s="86" t="n"/>
      <c r="C704" s="86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</row>
    <row r="705" ht="13.5" customHeight="1" s="108">
      <c r="A705" s="86" t="n"/>
      <c r="B705" s="86" t="n"/>
      <c r="C705" s="86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</row>
    <row r="706" ht="13.5" customHeight="1" s="108">
      <c r="A706" s="86" t="n"/>
      <c r="B706" s="86" t="n"/>
      <c r="C706" s="86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</row>
    <row r="707" ht="13.5" customHeight="1" s="108">
      <c r="A707" s="86" t="n"/>
      <c r="B707" s="86" t="n"/>
      <c r="C707" s="86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</row>
    <row r="708" ht="13.5" customHeight="1" s="108">
      <c r="A708" s="86" t="n"/>
      <c r="B708" s="86" t="n"/>
      <c r="C708" s="86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</row>
    <row r="709" ht="13.5" customHeight="1" s="108">
      <c r="A709" s="86" t="n"/>
      <c r="B709" s="86" t="n"/>
      <c r="C709" s="86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</row>
    <row r="710" ht="13.5" customHeight="1" s="108">
      <c r="A710" s="86" t="n"/>
      <c r="B710" s="86" t="n"/>
      <c r="C710" s="86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</row>
    <row r="711" ht="13.5" customHeight="1" s="108">
      <c r="A711" s="86" t="n"/>
      <c r="B711" s="86" t="n"/>
      <c r="C711" s="86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</row>
    <row r="712" ht="13.5" customHeight="1" s="108">
      <c r="A712" s="86" t="n"/>
      <c r="B712" s="86" t="n"/>
      <c r="C712" s="86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</row>
    <row r="713" ht="13.5" customHeight="1" s="108">
      <c r="A713" s="86" t="n"/>
      <c r="B713" s="86" t="n"/>
      <c r="C713" s="86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</row>
    <row r="714" ht="13.5" customHeight="1" s="108">
      <c r="A714" s="86" t="n"/>
      <c r="B714" s="86" t="n"/>
      <c r="C714" s="86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</row>
    <row r="715" ht="13.5" customHeight="1" s="108">
      <c r="A715" s="86" t="n"/>
      <c r="B715" s="86" t="n"/>
      <c r="C715" s="86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</row>
    <row r="716" ht="13.5" customHeight="1" s="108">
      <c r="A716" s="86" t="n"/>
      <c r="B716" s="86" t="n"/>
      <c r="C716" s="86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</row>
    <row r="717" ht="13.5" customHeight="1" s="108">
      <c r="A717" s="86" t="n"/>
      <c r="B717" s="86" t="n"/>
      <c r="C717" s="86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</row>
    <row r="718" ht="13.5" customHeight="1" s="108">
      <c r="A718" s="86" t="n"/>
      <c r="B718" s="86" t="n"/>
      <c r="C718" s="86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</row>
    <row r="719" ht="13.5" customHeight="1" s="108">
      <c r="A719" s="86" t="n"/>
      <c r="B719" s="86" t="n"/>
      <c r="C719" s="86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</row>
    <row r="720" ht="13.5" customHeight="1" s="108">
      <c r="A720" s="86" t="n"/>
      <c r="B720" s="86" t="n"/>
      <c r="C720" s="86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</row>
    <row r="721" ht="13.5" customHeight="1" s="108">
      <c r="A721" s="86" t="n"/>
      <c r="B721" s="86" t="n"/>
      <c r="C721" s="86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</row>
    <row r="722" ht="13.5" customHeight="1" s="108">
      <c r="A722" s="86" t="n"/>
      <c r="B722" s="86" t="n"/>
      <c r="C722" s="86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</row>
    <row r="723" ht="13.5" customHeight="1" s="108">
      <c r="A723" s="86" t="n"/>
      <c r="B723" s="86" t="n"/>
      <c r="C723" s="86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</row>
    <row r="724" ht="13.5" customHeight="1" s="108">
      <c r="A724" s="86" t="n"/>
      <c r="B724" s="86" t="n"/>
      <c r="C724" s="86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</row>
    <row r="725" ht="13.5" customHeight="1" s="108">
      <c r="A725" s="86" t="n"/>
      <c r="B725" s="86" t="n"/>
      <c r="C725" s="86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</row>
    <row r="726" ht="13.5" customHeight="1" s="108">
      <c r="A726" s="86" t="n"/>
      <c r="B726" s="86" t="n"/>
      <c r="C726" s="86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</row>
    <row r="727" ht="13.5" customHeight="1" s="108">
      <c r="A727" s="86" t="n"/>
      <c r="B727" s="86" t="n"/>
      <c r="C727" s="86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</row>
    <row r="728" ht="13.5" customHeight="1" s="108">
      <c r="A728" s="86" t="n"/>
      <c r="B728" s="86" t="n"/>
      <c r="C728" s="86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</row>
    <row r="729" ht="13.5" customHeight="1" s="108">
      <c r="A729" s="86" t="n"/>
      <c r="B729" s="86" t="n"/>
      <c r="C729" s="86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</row>
    <row r="730" ht="13.5" customHeight="1" s="108">
      <c r="A730" s="86" t="n"/>
      <c r="B730" s="86" t="n"/>
      <c r="C730" s="86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</row>
    <row r="731" ht="13.5" customHeight="1" s="108">
      <c r="A731" s="86" t="n"/>
      <c r="B731" s="86" t="n"/>
      <c r="C731" s="86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</row>
    <row r="732" ht="13.5" customHeight="1" s="108">
      <c r="A732" s="86" t="n"/>
      <c r="B732" s="86" t="n"/>
      <c r="C732" s="86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</row>
    <row r="733" ht="13.5" customHeight="1" s="108">
      <c r="A733" s="86" t="n"/>
      <c r="B733" s="86" t="n"/>
      <c r="C733" s="86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</row>
    <row r="734" ht="13.5" customHeight="1" s="108">
      <c r="A734" s="86" t="n"/>
      <c r="B734" s="86" t="n"/>
      <c r="C734" s="86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</row>
    <row r="735" ht="13.5" customHeight="1" s="108">
      <c r="A735" s="86" t="n"/>
      <c r="B735" s="86" t="n"/>
      <c r="C735" s="86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</row>
    <row r="736" ht="13.5" customHeight="1" s="108">
      <c r="A736" s="86" t="n"/>
      <c r="B736" s="86" t="n"/>
      <c r="C736" s="86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</row>
    <row r="737" ht="13.5" customHeight="1" s="108">
      <c r="A737" s="86" t="n"/>
      <c r="B737" s="86" t="n"/>
      <c r="C737" s="86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</row>
    <row r="738" ht="13.5" customHeight="1" s="108">
      <c r="A738" s="86" t="n"/>
      <c r="B738" s="86" t="n"/>
      <c r="C738" s="86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</row>
    <row r="739" ht="13.5" customHeight="1" s="108">
      <c r="A739" s="86" t="n"/>
      <c r="B739" s="86" t="n"/>
      <c r="C739" s="86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</row>
    <row r="740" ht="13.5" customHeight="1" s="108">
      <c r="A740" s="86" t="n"/>
      <c r="B740" s="86" t="n"/>
      <c r="C740" s="86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</row>
    <row r="741" ht="13.5" customHeight="1" s="108">
      <c r="A741" s="86" t="n"/>
      <c r="B741" s="86" t="n"/>
      <c r="C741" s="86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</row>
    <row r="742" ht="13.5" customHeight="1" s="108">
      <c r="A742" s="86" t="n"/>
      <c r="B742" s="86" t="n"/>
      <c r="C742" s="86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</row>
    <row r="743" ht="13.5" customHeight="1" s="108">
      <c r="A743" s="86" t="n"/>
      <c r="B743" s="86" t="n"/>
      <c r="C743" s="86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</row>
    <row r="744" ht="13.5" customHeight="1" s="108">
      <c r="A744" s="86" t="n"/>
      <c r="B744" s="86" t="n"/>
      <c r="C744" s="86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</row>
    <row r="745" ht="13.5" customHeight="1" s="108">
      <c r="A745" s="86" t="n"/>
      <c r="B745" s="86" t="n"/>
      <c r="C745" s="86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</row>
    <row r="746" ht="13.5" customHeight="1" s="108">
      <c r="A746" s="86" t="n"/>
      <c r="B746" s="86" t="n"/>
      <c r="C746" s="86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</row>
    <row r="747" ht="13.5" customHeight="1" s="108">
      <c r="A747" s="86" t="n"/>
      <c r="B747" s="86" t="n"/>
      <c r="C747" s="86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</row>
    <row r="748" ht="13.5" customHeight="1" s="108">
      <c r="A748" s="86" t="n"/>
      <c r="B748" s="86" t="n"/>
      <c r="C748" s="86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</row>
    <row r="749" ht="13.5" customHeight="1" s="108">
      <c r="A749" s="86" t="n"/>
      <c r="B749" s="86" t="n"/>
      <c r="C749" s="86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</row>
    <row r="750" ht="13.5" customHeight="1" s="108">
      <c r="A750" s="86" t="n"/>
      <c r="B750" s="86" t="n"/>
      <c r="C750" s="86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</row>
    <row r="751" ht="13.5" customHeight="1" s="108">
      <c r="A751" s="86" t="n"/>
      <c r="B751" s="86" t="n"/>
      <c r="C751" s="86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</row>
    <row r="752" ht="13.5" customHeight="1" s="108">
      <c r="A752" s="86" t="n"/>
      <c r="B752" s="86" t="n"/>
      <c r="C752" s="86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</row>
    <row r="753" ht="13.5" customHeight="1" s="108">
      <c r="A753" s="86" t="n"/>
      <c r="B753" s="86" t="n"/>
      <c r="C753" s="86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</row>
    <row r="754" ht="13.5" customHeight="1" s="108">
      <c r="A754" s="86" t="n"/>
      <c r="B754" s="86" t="n"/>
      <c r="C754" s="86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</row>
    <row r="755" ht="13.5" customHeight="1" s="108">
      <c r="A755" s="86" t="n"/>
      <c r="B755" s="86" t="n"/>
      <c r="C755" s="86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</row>
    <row r="756" ht="13.5" customHeight="1" s="108">
      <c r="A756" s="86" t="n"/>
      <c r="B756" s="86" t="n"/>
      <c r="C756" s="86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</row>
    <row r="757" ht="13.5" customHeight="1" s="108">
      <c r="A757" s="86" t="n"/>
      <c r="B757" s="86" t="n"/>
      <c r="C757" s="86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</row>
    <row r="758" ht="13.5" customHeight="1" s="108">
      <c r="A758" s="86" t="n"/>
      <c r="B758" s="86" t="n"/>
      <c r="C758" s="86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</row>
    <row r="759" ht="13.5" customHeight="1" s="108">
      <c r="A759" s="86" t="n"/>
      <c r="B759" s="86" t="n"/>
      <c r="C759" s="86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</row>
    <row r="760" ht="13.5" customHeight="1" s="108">
      <c r="A760" s="86" t="n"/>
      <c r="B760" s="86" t="n"/>
      <c r="C760" s="86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</row>
    <row r="761" ht="13.5" customHeight="1" s="108">
      <c r="A761" s="86" t="n"/>
      <c r="B761" s="86" t="n"/>
      <c r="C761" s="86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</row>
    <row r="762" ht="13.5" customHeight="1" s="108">
      <c r="A762" s="86" t="n"/>
      <c r="B762" s="86" t="n"/>
      <c r="C762" s="86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</row>
    <row r="763" ht="13.5" customHeight="1" s="108">
      <c r="A763" s="86" t="n"/>
      <c r="B763" s="86" t="n"/>
      <c r="C763" s="86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</row>
    <row r="764" ht="13.5" customHeight="1" s="108">
      <c r="A764" s="86" t="n"/>
      <c r="B764" s="86" t="n"/>
      <c r="C764" s="86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</row>
    <row r="765" ht="13.5" customHeight="1" s="108">
      <c r="A765" s="86" t="n"/>
      <c r="B765" s="86" t="n"/>
      <c r="C765" s="86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</row>
    <row r="766" ht="13.5" customHeight="1" s="108">
      <c r="A766" s="86" t="n"/>
      <c r="B766" s="86" t="n"/>
      <c r="C766" s="86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</row>
    <row r="767" ht="13.5" customHeight="1" s="108">
      <c r="A767" s="86" t="n"/>
      <c r="B767" s="86" t="n"/>
      <c r="C767" s="86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</row>
    <row r="768" ht="13.5" customHeight="1" s="108">
      <c r="A768" s="86" t="n"/>
      <c r="B768" s="86" t="n"/>
      <c r="C768" s="86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</row>
    <row r="769" ht="13.5" customHeight="1" s="108">
      <c r="A769" s="86" t="n"/>
      <c r="B769" s="86" t="n"/>
      <c r="C769" s="86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</row>
    <row r="770" ht="13.5" customHeight="1" s="108">
      <c r="A770" s="86" t="n"/>
      <c r="B770" s="86" t="n"/>
      <c r="C770" s="86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</row>
    <row r="771" ht="13.5" customHeight="1" s="108">
      <c r="A771" s="86" t="n"/>
      <c r="B771" s="86" t="n"/>
      <c r="C771" s="86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</row>
    <row r="772" ht="13.5" customHeight="1" s="108">
      <c r="A772" s="86" t="n"/>
      <c r="B772" s="86" t="n"/>
      <c r="C772" s="86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</row>
    <row r="773" ht="13.5" customHeight="1" s="108">
      <c r="A773" s="86" t="n"/>
      <c r="B773" s="86" t="n"/>
      <c r="C773" s="86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</row>
    <row r="774" ht="13.5" customHeight="1" s="108">
      <c r="A774" s="86" t="n"/>
      <c r="B774" s="86" t="n"/>
      <c r="C774" s="86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</row>
    <row r="775" ht="13.5" customHeight="1" s="108">
      <c r="A775" s="86" t="n"/>
      <c r="B775" s="86" t="n"/>
      <c r="C775" s="86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</row>
    <row r="776" ht="13.5" customHeight="1" s="108">
      <c r="A776" s="86" t="n"/>
      <c r="B776" s="86" t="n"/>
      <c r="C776" s="86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</row>
    <row r="777" ht="13.5" customHeight="1" s="108">
      <c r="A777" s="86" t="n"/>
      <c r="B777" s="86" t="n"/>
      <c r="C777" s="86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</row>
    <row r="778" ht="13.5" customHeight="1" s="108">
      <c r="A778" s="86" t="n"/>
      <c r="B778" s="86" t="n"/>
      <c r="C778" s="86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</row>
    <row r="779" ht="13.5" customHeight="1" s="108">
      <c r="A779" s="86" t="n"/>
      <c r="B779" s="86" t="n"/>
      <c r="C779" s="86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</row>
    <row r="780" ht="13.5" customHeight="1" s="108">
      <c r="A780" s="86" t="n"/>
      <c r="B780" s="86" t="n"/>
      <c r="C780" s="86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</row>
    <row r="781" ht="13.5" customHeight="1" s="108">
      <c r="A781" s="86" t="n"/>
      <c r="B781" s="86" t="n"/>
      <c r="C781" s="86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</row>
    <row r="782" ht="13.5" customHeight="1" s="108">
      <c r="A782" s="86" t="n"/>
      <c r="B782" s="86" t="n"/>
      <c r="C782" s="86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</row>
    <row r="783" ht="13.5" customHeight="1" s="108">
      <c r="A783" s="86" t="n"/>
      <c r="B783" s="86" t="n"/>
      <c r="C783" s="86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</row>
    <row r="784" ht="13.5" customHeight="1" s="108">
      <c r="A784" s="86" t="n"/>
      <c r="B784" s="86" t="n"/>
      <c r="C784" s="86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</row>
    <row r="785" ht="13.5" customHeight="1" s="108">
      <c r="A785" s="86" t="n"/>
      <c r="B785" s="86" t="n"/>
      <c r="C785" s="86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</row>
    <row r="786" ht="13.5" customHeight="1" s="108">
      <c r="A786" s="86" t="n"/>
      <c r="B786" s="86" t="n"/>
      <c r="C786" s="86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</row>
    <row r="787" ht="13.5" customHeight="1" s="108">
      <c r="A787" s="86" t="n"/>
      <c r="B787" s="86" t="n"/>
      <c r="C787" s="86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</row>
    <row r="788" ht="13.5" customHeight="1" s="108">
      <c r="A788" s="86" t="n"/>
      <c r="B788" s="86" t="n"/>
      <c r="C788" s="86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</row>
    <row r="789" ht="13.5" customHeight="1" s="108">
      <c r="A789" s="86" t="n"/>
      <c r="B789" s="86" t="n"/>
      <c r="C789" s="86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</row>
    <row r="790" ht="13.5" customHeight="1" s="108">
      <c r="A790" s="86" t="n"/>
      <c r="B790" s="86" t="n"/>
      <c r="C790" s="86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</row>
    <row r="791" ht="13.5" customHeight="1" s="108">
      <c r="A791" s="86" t="n"/>
      <c r="B791" s="86" t="n"/>
      <c r="C791" s="86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</row>
    <row r="792" ht="13.5" customHeight="1" s="108">
      <c r="A792" s="86" t="n"/>
      <c r="B792" s="86" t="n"/>
      <c r="C792" s="86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</row>
    <row r="793" ht="13.5" customHeight="1" s="108">
      <c r="A793" s="86" t="n"/>
      <c r="B793" s="86" t="n"/>
      <c r="C793" s="86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</row>
    <row r="794" ht="13.5" customHeight="1" s="108">
      <c r="A794" s="86" t="n"/>
      <c r="B794" s="86" t="n"/>
      <c r="C794" s="86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</row>
    <row r="795" ht="13.5" customHeight="1" s="108">
      <c r="A795" s="86" t="n"/>
      <c r="B795" s="86" t="n"/>
      <c r="C795" s="86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</row>
    <row r="796" ht="13.5" customHeight="1" s="108">
      <c r="A796" s="86" t="n"/>
      <c r="B796" s="86" t="n"/>
      <c r="C796" s="86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</row>
    <row r="797" ht="13.5" customHeight="1" s="108">
      <c r="A797" s="86" t="n"/>
      <c r="B797" s="86" t="n"/>
      <c r="C797" s="86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</row>
    <row r="798" ht="13.5" customHeight="1" s="108">
      <c r="A798" s="86" t="n"/>
      <c r="B798" s="86" t="n"/>
      <c r="C798" s="86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</row>
    <row r="799" ht="13.5" customHeight="1" s="108">
      <c r="A799" s="86" t="n"/>
      <c r="B799" s="86" t="n"/>
      <c r="C799" s="86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</row>
    <row r="800" ht="13.5" customHeight="1" s="108">
      <c r="A800" s="86" t="n"/>
      <c r="B800" s="86" t="n"/>
      <c r="C800" s="86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</row>
    <row r="801" ht="13.5" customHeight="1" s="108">
      <c r="A801" s="86" t="n"/>
      <c r="B801" s="86" t="n"/>
      <c r="C801" s="86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</row>
    <row r="802" ht="13.5" customHeight="1" s="108">
      <c r="A802" s="86" t="n"/>
      <c r="B802" s="86" t="n"/>
      <c r="C802" s="86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</row>
    <row r="803" ht="13.5" customHeight="1" s="108">
      <c r="A803" s="86" t="n"/>
      <c r="B803" s="86" t="n"/>
      <c r="C803" s="86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</row>
    <row r="804" ht="13.5" customHeight="1" s="108">
      <c r="A804" s="86" t="n"/>
      <c r="B804" s="86" t="n"/>
      <c r="C804" s="86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</row>
    <row r="805" ht="13.5" customHeight="1" s="108">
      <c r="A805" s="86" t="n"/>
      <c r="B805" s="86" t="n"/>
      <c r="C805" s="86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</row>
    <row r="806" ht="13.5" customHeight="1" s="108">
      <c r="A806" s="86" t="n"/>
      <c r="B806" s="86" t="n"/>
      <c r="C806" s="86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</row>
    <row r="807" ht="13.5" customHeight="1" s="108">
      <c r="A807" s="86" t="n"/>
      <c r="B807" s="86" t="n"/>
      <c r="C807" s="86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</row>
    <row r="808" ht="13.5" customHeight="1" s="108">
      <c r="A808" s="86" t="n"/>
      <c r="B808" s="86" t="n"/>
      <c r="C808" s="86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</row>
    <row r="809" ht="13.5" customHeight="1" s="108">
      <c r="A809" s="86" t="n"/>
      <c r="B809" s="86" t="n"/>
      <c r="C809" s="86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</row>
    <row r="810" ht="13.5" customHeight="1" s="108">
      <c r="A810" s="86" t="n"/>
      <c r="B810" s="86" t="n"/>
      <c r="C810" s="86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</row>
    <row r="811" ht="13.5" customHeight="1" s="108">
      <c r="A811" s="86" t="n"/>
      <c r="B811" s="86" t="n"/>
      <c r="C811" s="86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</row>
    <row r="812" ht="13.5" customHeight="1" s="108">
      <c r="A812" s="86" t="n"/>
      <c r="B812" s="86" t="n"/>
      <c r="C812" s="86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</row>
    <row r="813" ht="13.5" customHeight="1" s="108">
      <c r="A813" s="86" t="n"/>
      <c r="B813" s="86" t="n"/>
      <c r="C813" s="86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</row>
    <row r="814" ht="13.5" customHeight="1" s="108">
      <c r="A814" s="86" t="n"/>
      <c r="B814" s="86" t="n"/>
      <c r="C814" s="86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</row>
    <row r="815" ht="13.5" customHeight="1" s="108">
      <c r="A815" s="86" t="n"/>
      <c r="B815" s="86" t="n"/>
      <c r="C815" s="86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</row>
    <row r="816" ht="13.5" customHeight="1" s="108">
      <c r="A816" s="86" t="n"/>
      <c r="B816" s="86" t="n"/>
      <c r="C816" s="86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</row>
    <row r="817" ht="13.5" customHeight="1" s="108">
      <c r="A817" s="86" t="n"/>
      <c r="B817" s="86" t="n"/>
      <c r="C817" s="86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</row>
    <row r="818" ht="13.5" customHeight="1" s="108">
      <c r="A818" s="86" t="n"/>
      <c r="B818" s="86" t="n"/>
      <c r="C818" s="86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</row>
    <row r="819" ht="13.5" customHeight="1" s="108">
      <c r="A819" s="86" t="n"/>
      <c r="B819" s="86" t="n"/>
      <c r="C819" s="86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</row>
    <row r="820" ht="13.5" customHeight="1" s="108">
      <c r="A820" s="86" t="n"/>
      <c r="B820" s="86" t="n"/>
      <c r="C820" s="86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</row>
    <row r="821" ht="13.5" customHeight="1" s="108">
      <c r="A821" s="86" t="n"/>
      <c r="B821" s="86" t="n"/>
      <c r="C821" s="86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</row>
    <row r="822" ht="13.5" customHeight="1" s="108">
      <c r="A822" s="86" t="n"/>
      <c r="B822" s="86" t="n"/>
      <c r="C822" s="86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</row>
    <row r="823" ht="13.5" customHeight="1" s="108">
      <c r="A823" s="86" t="n"/>
      <c r="B823" s="86" t="n"/>
      <c r="C823" s="86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</row>
    <row r="824" ht="13.5" customHeight="1" s="108">
      <c r="A824" s="86" t="n"/>
      <c r="B824" s="86" t="n"/>
      <c r="C824" s="86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</row>
    <row r="825" ht="13.5" customHeight="1" s="108">
      <c r="A825" s="86" t="n"/>
      <c r="B825" s="86" t="n"/>
      <c r="C825" s="86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</row>
    <row r="826" ht="13.5" customHeight="1" s="108">
      <c r="A826" s="86" t="n"/>
      <c r="B826" s="86" t="n"/>
      <c r="C826" s="86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</row>
    <row r="827" ht="13.5" customHeight="1" s="108">
      <c r="A827" s="86" t="n"/>
      <c r="B827" s="86" t="n"/>
      <c r="C827" s="86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</row>
    <row r="828" ht="13.5" customHeight="1" s="108">
      <c r="A828" s="86" t="n"/>
      <c r="B828" s="86" t="n"/>
      <c r="C828" s="86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</row>
    <row r="829" ht="13.5" customHeight="1" s="108">
      <c r="A829" s="86" t="n"/>
      <c r="B829" s="86" t="n"/>
      <c r="C829" s="86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</row>
    <row r="830" ht="13.5" customHeight="1" s="108">
      <c r="A830" s="86" t="n"/>
      <c r="B830" s="86" t="n"/>
      <c r="C830" s="86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</row>
    <row r="831" ht="13.5" customHeight="1" s="108">
      <c r="A831" s="86" t="n"/>
      <c r="B831" s="86" t="n"/>
      <c r="C831" s="86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</row>
    <row r="832" ht="13.5" customHeight="1" s="108">
      <c r="A832" s="86" t="n"/>
      <c r="B832" s="86" t="n"/>
      <c r="C832" s="86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</row>
    <row r="833" ht="13.5" customHeight="1" s="108">
      <c r="A833" s="86" t="n"/>
      <c r="B833" s="86" t="n"/>
      <c r="C833" s="86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</row>
    <row r="834" ht="13.5" customHeight="1" s="108">
      <c r="A834" s="86" t="n"/>
      <c r="B834" s="86" t="n"/>
      <c r="C834" s="86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</row>
    <row r="835" ht="13.5" customHeight="1" s="108">
      <c r="A835" s="86" t="n"/>
      <c r="B835" s="86" t="n"/>
      <c r="C835" s="86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</row>
    <row r="836" ht="13.5" customHeight="1" s="108">
      <c r="A836" s="86" t="n"/>
      <c r="B836" s="86" t="n"/>
      <c r="C836" s="86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</row>
    <row r="837" ht="13.5" customHeight="1" s="108">
      <c r="A837" s="86" t="n"/>
      <c r="B837" s="86" t="n"/>
      <c r="C837" s="86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</row>
    <row r="838" ht="13.5" customHeight="1" s="108">
      <c r="A838" s="86" t="n"/>
      <c r="B838" s="86" t="n"/>
      <c r="C838" s="86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</row>
    <row r="839" ht="13.5" customHeight="1" s="108">
      <c r="A839" s="86" t="n"/>
      <c r="B839" s="86" t="n"/>
      <c r="C839" s="86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</row>
    <row r="840" ht="13.5" customHeight="1" s="108">
      <c r="A840" s="86" t="n"/>
      <c r="B840" s="86" t="n"/>
      <c r="C840" s="86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</row>
    <row r="841" ht="13.5" customHeight="1" s="108">
      <c r="A841" s="86" t="n"/>
      <c r="B841" s="86" t="n"/>
      <c r="C841" s="86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</row>
    <row r="842" ht="13.5" customHeight="1" s="108">
      <c r="A842" s="86" t="n"/>
      <c r="B842" s="86" t="n"/>
      <c r="C842" s="86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</row>
    <row r="843" ht="13.5" customHeight="1" s="108">
      <c r="A843" s="86" t="n"/>
      <c r="B843" s="86" t="n"/>
      <c r="C843" s="86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</row>
    <row r="844" ht="13.5" customHeight="1" s="108">
      <c r="A844" s="86" t="n"/>
      <c r="B844" s="86" t="n"/>
      <c r="C844" s="86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</row>
    <row r="845" ht="13.5" customHeight="1" s="108">
      <c r="A845" s="86" t="n"/>
      <c r="B845" s="86" t="n"/>
      <c r="C845" s="86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</row>
    <row r="846" ht="13.5" customHeight="1" s="108">
      <c r="A846" s="86" t="n"/>
      <c r="B846" s="86" t="n"/>
      <c r="C846" s="86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</row>
    <row r="847" ht="13.5" customHeight="1" s="108">
      <c r="A847" s="86" t="n"/>
      <c r="B847" s="86" t="n"/>
      <c r="C847" s="86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</row>
    <row r="848" ht="13.5" customHeight="1" s="108">
      <c r="A848" s="86" t="n"/>
      <c r="B848" s="86" t="n"/>
      <c r="C848" s="86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</row>
    <row r="849" ht="13.5" customHeight="1" s="108">
      <c r="A849" s="86" t="n"/>
      <c r="B849" s="86" t="n"/>
      <c r="C849" s="86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</row>
    <row r="850" ht="13.5" customHeight="1" s="108">
      <c r="A850" s="86" t="n"/>
      <c r="B850" s="86" t="n"/>
      <c r="C850" s="86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</row>
    <row r="851" ht="13.5" customHeight="1" s="108">
      <c r="A851" s="86" t="n"/>
      <c r="B851" s="86" t="n"/>
      <c r="C851" s="86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</row>
    <row r="852" ht="13.5" customHeight="1" s="108">
      <c r="A852" s="86" t="n"/>
      <c r="B852" s="86" t="n"/>
      <c r="C852" s="86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</row>
    <row r="853" ht="13.5" customHeight="1" s="108">
      <c r="A853" s="86" t="n"/>
      <c r="B853" s="86" t="n"/>
      <c r="C853" s="86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</row>
    <row r="854" ht="13.5" customHeight="1" s="108">
      <c r="A854" s="86" t="n"/>
      <c r="B854" s="86" t="n"/>
      <c r="C854" s="86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</row>
    <row r="855" ht="13.5" customHeight="1" s="108">
      <c r="A855" s="86" t="n"/>
      <c r="B855" s="86" t="n"/>
      <c r="C855" s="86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</row>
    <row r="856" ht="13.5" customHeight="1" s="108">
      <c r="A856" s="86" t="n"/>
      <c r="B856" s="86" t="n"/>
      <c r="C856" s="86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</row>
    <row r="857" ht="13.5" customHeight="1" s="108">
      <c r="A857" s="86" t="n"/>
      <c r="B857" s="86" t="n"/>
      <c r="C857" s="86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</row>
    <row r="858" ht="13.5" customHeight="1" s="108">
      <c r="A858" s="86" t="n"/>
      <c r="B858" s="86" t="n"/>
      <c r="C858" s="86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</row>
    <row r="859" ht="13.5" customHeight="1" s="108">
      <c r="A859" s="86" t="n"/>
      <c r="B859" s="86" t="n"/>
      <c r="C859" s="86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</row>
    <row r="860" ht="13.5" customHeight="1" s="108">
      <c r="A860" s="86" t="n"/>
      <c r="B860" s="86" t="n"/>
      <c r="C860" s="86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</row>
    <row r="861" ht="13.5" customHeight="1" s="108">
      <c r="A861" s="86" t="n"/>
      <c r="B861" s="86" t="n"/>
      <c r="C861" s="86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</row>
    <row r="862" ht="13.5" customHeight="1" s="108">
      <c r="A862" s="86" t="n"/>
      <c r="B862" s="86" t="n"/>
      <c r="C862" s="86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</row>
    <row r="863" ht="13.5" customHeight="1" s="108">
      <c r="A863" s="86" t="n"/>
      <c r="B863" s="86" t="n"/>
      <c r="C863" s="86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</row>
    <row r="864" ht="13.5" customHeight="1" s="108">
      <c r="A864" s="86" t="n"/>
      <c r="B864" s="86" t="n"/>
      <c r="C864" s="86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</row>
    <row r="865" ht="13.5" customHeight="1" s="108">
      <c r="A865" s="86" t="n"/>
      <c r="B865" s="86" t="n"/>
      <c r="C865" s="86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</row>
    <row r="866" ht="13.5" customHeight="1" s="108">
      <c r="A866" s="86" t="n"/>
      <c r="B866" s="86" t="n"/>
      <c r="C866" s="86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</row>
    <row r="867" ht="13.5" customHeight="1" s="108">
      <c r="A867" s="86" t="n"/>
      <c r="B867" s="86" t="n"/>
      <c r="C867" s="86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</row>
    <row r="868" ht="13.5" customHeight="1" s="108">
      <c r="A868" s="86" t="n"/>
      <c r="B868" s="86" t="n"/>
      <c r="C868" s="86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</row>
    <row r="869" ht="13.5" customHeight="1" s="108">
      <c r="A869" s="86" t="n"/>
      <c r="B869" s="86" t="n"/>
      <c r="C869" s="86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</row>
    <row r="870" ht="13.5" customHeight="1" s="108">
      <c r="A870" s="86" t="n"/>
      <c r="B870" s="86" t="n"/>
      <c r="C870" s="86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</row>
    <row r="871" ht="13.5" customHeight="1" s="108">
      <c r="A871" s="86" t="n"/>
      <c r="B871" s="86" t="n"/>
      <c r="C871" s="86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</row>
    <row r="872" ht="13.5" customHeight="1" s="108">
      <c r="A872" s="86" t="n"/>
      <c r="B872" s="86" t="n"/>
      <c r="C872" s="86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</row>
    <row r="873" ht="13.5" customHeight="1" s="108">
      <c r="A873" s="86" t="n"/>
      <c r="B873" s="86" t="n"/>
      <c r="C873" s="86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</row>
    <row r="874" ht="13.5" customHeight="1" s="108">
      <c r="A874" s="86" t="n"/>
      <c r="B874" s="86" t="n"/>
      <c r="C874" s="86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</row>
    <row r="875" ht="13.5" customHeight="1" s="108">
      <c r="A875" s="86" t="n"/>
      <c r="B875" s="86" t="n"/>
      <c r="C875" s="86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</row>
    <row r="876" ht="13.5" customHeight="1" s="108">
      <c r="A876" s="86" t="n"/>
      <c r="B876" s="86" t="n"/>
      <c r="C876" s="86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</row>
    <row r="877" ht="13.5" customHeight="1" s="108">
      <c r="A877" s="86" t="n"/>
      <c r="B877" s="86" t="n"/>
      <c r="C877" s="86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</row>
    <row r="878" ht="13.5" customHeight="1" s="108">
      <c r="A878" s="86" t="n"/>
      <c r="B878" s="86" t="n"/>
      <c r="C878" s="86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</row>
    <row r="879" ht="13.5" customHeight="1" s="108">
      <c r="A879" s="86" t="n"/>
      <c r="B879" s="86" t="n"/>
      <c r="C879" s="86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</row>
    <row r="880" ht="13.5" customHeight="1" s="108">
      <c r="A880" s="86" t="n"/>
      <c r="B880" s="86" t="n"/>
      <c r="C880" s="86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</row>
    <row r="881" ht="13.5" customHeight="1" s="108">
      <c r="A881" s="86" t="n"/>
      <c r="B881" s="86" t="n"/>
      <c r="C881" s="86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</row>
    <row r="882" ht="13.5" customHeight="1" s="108">
      <c r="A882" s="86" t="n"/>
      <c r="B882" s="86" t="n"/>
      <c r="C882" s="86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</row>
    <row r="883" ht="13.5" customHeight="1" s="108">
      <c r="A883" s="86" t="n"/>
      <c r="B883" s="86" t="n"/>
      <c r="C883" s="86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</row>
    <row r="884" ht="13.5" customHeight="1" s="108">
      <c r="A884" s="86" t="n"/>
      <c r="B884" s="86" t="n"/>
      <c r="C884" s="86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</row>
    <row r="885" ht="13.5" customHeight="1" s="108">
      <c r="A885" s="86" t="n"/>
      <c r="B885" s="86" t="n"/>
      <c r="C885" s="86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</row>
    <row r="886" ht="13.5" customHeight="1" s="108">
      <c r="A886" s="86" t="n"/>
      <c r="B886" s="86" t="n"/>
      <c r="C886" s="86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</row>
    <row r="887" ht="13.5" customHeight="1" s="108">
      <c r="A887" s="86" t="n"/>
      <c r="B887" s="86" t="n"/>
      <c r="C887" s="86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</row>
    <row r="888" ht="13.5" customHeight="1" s="108">
      <c r="A888" s="86" t="n"/>
      <c r="B888" s="86" t="n"/>
      <c r="C888" s="86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</row>
    <row r="889" ht="13.5" customHeight="1" s="108">
      <c r="A889" s="86" t="n"/>
      <c r="B889" s="86" t="n"/>
      <c r="C889" s="86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</row>
    <row r="890" ht="13.5" customHeight="1" s="108">
      <c r="A890" s="86" t="n"/>
      <c r="B890" s="86" t="n"/>
      <c r="C890" s="86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</row>
    <row r="891" ht="13.5" customHeight="1" s="108">
      <c r="A891" s="86" t="n"/>
      <c r="B891" s="86" t="n"/>
      <c r="C891" s="86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</row>
    <row r="892" ht="13.5" customHeight="1" s="108">
      <c r="A892" s="86" t="n"/>
      <c r="B892" s="86" t="n"/>
      <c r="C892" s="86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</row>
    <row r="893" ht="13.5" customHeight="1" s="108">
      <c r="A893" s="86" t="n"/>
      <c r="B893" s="86" t="n"/>
      <c r="C893" s="86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</row>
    <row r="894" ht="13.5" customHeight="1" s="108">
      <c r="A894" s="86" t="n"/>
      <c r="B894" s="86" t="n"/>
      <c r="C894" s="86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</row>
    <row r="895" ht="13.5" customHeight="1" s="108">
      <c r="A895" s="86" t="n"/>
      <c r="B895" s="86" t="n"/>
      <c r="C895" s="86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</row>
    <row r="896" ht="13.5" customHeight="1" s="108">
      <c r="A896" s="86" t="n"/>
      <c r="B896" s="86" t="n"/>
      <c r="C896" s="86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</row>
    <row r="897" ht="13.5" customHeight="1" s="108">
      <c r="A897" s="86" t="n"/>
      <c r="B897" s="86" t="n"/>
      <c r="C897" s="86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</row>
    <row r="898" ht="13.5" customHeight="1" s="108">
      <c r="A898" s="86" t="n"/>
      <c r="B898" s="86" t="n"/>
      <c r="C898" s="86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</row>
    <row r="899" ht="13.5" customHeight="1" s="108">
      <c r="A899" s="86" t="n"/>
      <c r="B899" s="86" t="n"/>
      <c r="C899" s="86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</row>
    <row r="900" ht="13.5" customHeight="1" s="108">
      <c r="A900" s="86" t="n"/>
      <c r="B900" s="86" t="n"/>
      <c r="C900" s="86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</row>
    <row r="901" ht="13.5" customHeight="1" s="108">
      <c r="A901" s="86" t="n"/>
      <c r="B901" s="86" t="n"/>
      <c r="C901" s="86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</row>
    <row r="902" ht="13.5" customHeight="1" s="108">
      <c r="A902" s="86" t="n"/>
      <c r="B902" s="86" t="n"/>
      <c r="C902" s="86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</row>
    <row r="903" ht="13.5" customHeight="1" s="108">
      <c r="A903" s="86" t="n"/>
      <c r="B903" s="86" t="n"/>
      <c r="C903" s="86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</row>
    <row r="904" ht="13.5" customHeight="1" s="108">
      <c r="A904" s="86" t="n"/>
      <c r="B904" s="86" t="n"/>
      <c r="C904" s="86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</row>
    <row r="905" ht="13.5" customHeight="1" s="108">
      <c r="A905" s="86" t="n"/>
      <c r="B905" s="86" t="n"/>
      <c r="C905" s="86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</row>
    <row r="906" ht="13.5" customHeight="1" s="108">
      <c r="A906" s="86" t="n"/>
      <c r="B906" s="86" t="n"/>
      <c r="C906" s="86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</row>
    <row r="907" ht="13.5" customHeight="1" s="108">
      <c r="A907" s="86" t="n"/>
      <c r="B907" s="86" t="n"/>
      <c r="C907" s="86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</row>
    <row r="908" ht="13.5" customHeight="1" s="108">
      <c r="A908" s="86" t="n"/>
      <c r="B908" s="86" t="n"/>
      <c r="C908" s="86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</row>
    <row r="909" ht="13.5" customHeight="1" s="108">
      <c r="A909" s="86" t="n"/>
      <c r="B909" s="86" t="n"/>
      <c r="C909" s="86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</row>
    <row r="910" ht="13.5" customHeight="1" s="108">
      <c r="A910" s="86" t="n"/>
      <c r="B910" s="86" t="n"/>
      <c r="C910" s="86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</row>
    <row r="911" ht="13.5" customHeight="1" s="108">
      <c r="A911" s="86" t="n"/>
      <c r="B911" s="86" t="n"/>
      <c r="C911" s="86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</row>
    <row r="912" ht="13.5" customHeight="1" s="108">
      <c r="A912" s="86" t="n"/>
      <c r="B912" s="86" t="n"/>
      <c r="C912" s="86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</row>
    <row r="913" ht="13.5" customHeight="1" s="108">
      <c r="A913" s="86" t="n"/>
      <c r="B913" s="86" t="n"/>
      <c r="C913" s="86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</row>
    <row r="914" ht="13.5" customHeight="1" s="108">
      <c r="A914" s="86" t="n"/>
      <c r="B914" s="86" t="n"/>
      <c r="C914" s="86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</row>
    <row r="915" ht="13.5" customHeight="1" s="108">
      <c r="A915" s="86" t="n"/>
      <c r="B915" s="86" t="n"/>
      <c r="C915" s="86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</row>
    <row r="916" ht="13.5" customHeight="1" s="108">
      <c r="A916" s="86" t="n"/>
      <c r="B916" s="86" t="n"/>
      <c r="C916" s="86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</row>
    <row r="917" ht="13.5" customHeight="1" s="108">
      <c r="A917" s="86" t="n"/>
      <c r="B917" s="86" t="n"/>
      <c r="C917" s="86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</row>
    <row r="918" ht="13.5" customHeight="1" s="108">
      <c r="A918" s="86" t="n"/>
      <c r="B918" s="86" t="n"/>
      <c r="C918" s="86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</row>
    <row r="919" ht="13.5" customHeight="1" s="108">
      <c r="A919" s="86" t="n"/>
      <c r="B919" s="86" t="n"/>
      <c r="C919" s="86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</row>
    <row r="920" ht="13.5" customHeight="1" s="108">
      <c r="A920" s="86" t="n"/>
      <c r="B920" s="86" t="n"/>
      <c r="C920" s="86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</row>
    <row r="921" ht="13.5" customHeight="1" s="108">
      <c r="A921" s="86" t="n"/>
      <c r="B921" s="86" t="n"/>
      <c r="C921" s="86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</row>
    <row r="922" ht="13.5" customHeight="1" s="108">
      <c r="A922" s="86" t="n"/>
      <c r="B922" s="86" t="n"/>
      <c r="C922" s="86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</row>
    <row r="923" ht="13.5" customHeight="1" s="108">
      <c r="A923" s="86" t="n"/>
      <c r="B923" s="86" t="n"/>
      <c r="C923" s="86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</row>
    <row r="924" ht="13.5" customHeight="1" s="108">
      <c r="A924" s="86" t="n"/>
      <c r="B924" s="86" t="n"/>
      <c r="C924" s="86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</row>
    <row r="925" ht="13.5" customHeight="1" s="108">
      <c r="A925" s="86" t="n"/>
      <c r="B925" s="86" t="n"/>
      <c r="C925" s="86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</row>
    <row r="926" ht="13.5" customHeight="1" s="108">
      <c r="A926" s="86" t="n"/>
      <c r="B926" s="86" t="n"/>
      <c r="C926" s="86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</row>
    <row r="927" ht="13.5" customHeight="1" s="108">
      <c r="A927" s="86" t="n"/>
      <c r="B927" s="86" t="n"/>
      <c r="C927" s="86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</row>
    <row r="928" ht="13.5" customHeight="1" s="108">
      <c r="A928" s="86" t="n"/>
      <c r="B928" s="86" t="n"/>
      <c r="C928" s="86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</row>
    <row r="929" ht="13.5" customHeight="1" s="108">
      <c r="A929" s="86" t="n"/>
      <c r="B929" s="86" t="n"/>
      <c r="C929" s="86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</row>
    <row r="930" ht="13.5" customHeight="1" s="108">
      <c r="A930" s="86" t="n"/>
      <c r="B930" s="86" t="n"/>
      <c r="C930" s="86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</row>
    <row r="931" ht="13.5" customHeight="1" s="108">
      <c r="A931" s="86" t="n"/>
      <c r="B931" s="86" t="n"/>
      <c r="C931" s="86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</row>
    <row r="932" ht="13.5" customHeight="1" s="108">
      <c r="A932" s="86" t="n"/>
      <c r="B932" s="86" t="n"/>
      <c r="C932" s="86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</row>
    <row r="933" ht="13.5" customHeight="1" s="108">
      <c r="A933" s="86" t="n"/>
      <c r="B933" s="86" t="n"/>
      <c r="C933" s="86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</row>
    <row r="934" ht="13.5" customHeight="1" s="108">
      <c r="A934" s="86" t="n"/>
      <c r="B934" s="86" t="n"/>
      <c r="C934" s="86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</row>
    <row r="935" ht="13.5" customHeight="1" s="108">
      <c r="A935" s="86" t="n"/>
      <c r="B935" s="86" t="n"/>
      <c r="C935" s="86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</row>
    <row r="936" ht="13.5" customHeight="1" s="108">
      <c r="A936" s="86" t="n"/>
      <c r="B936" s="86" t="n"/>
      <c r="C936" s="86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</row>
    <row r="937" ht="13.5" customHeight="1" s="108">
      <c r="A937" s="86" t="n"/>
      <c r="B937" s="86" t="n"/>
      <c r="C937" s="86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</row>
    <row r="938" ht="13.5" customHeight="1" s="108">
      <c r="A938" s="86" t="n"/>
      <c r="B938" s="86" t="n"/>
      <c r="C938" s="86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</row>
    <row r="939" ht="13.5" customHeight="1" s="108">
      <c r="A939" s="86" t="n"/>
      <c r="B939" s="86" t="n"/>
      <c r="C939" s="86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</row>
    <row r="940" ht="13.5" customHeight="1" s="108">
      <c r="A940" s="86" t="n"/>
      <c r="B940" s="86" t="n"/>
      <c r="C940" s="86" t="n"/>
      <c r="D940" s="86" t="n"/>
      <c r="E940" s="86" t="n"/>
      <c r="F940" s="86" t="n"/>
      <c r="G940" s="86" t="n"/>
      <c r="H940" s="86" t="n"/>
      <c r="I940" s="86" t="n"/>
      <c r="J940" s="86" t="n"/>
      <c r="K940" s="86" t="n"/>
      <c r="L940" s="86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</row>
    <row r="941" ht="13.5" customHeight="1" s="108">
      <c r="A941" s="86" t="n"/>
      <c r="B941" s="86" t="n"/>
      <c r="C941" s="86" t="n"/>
      <c r="D941" s="86" t="n"/>
      <c r="E941" s="86" t="n"/>
      <c r="F941" s="86" t="n"/>
      <c r="G941" s="86" t="n"/>
      <c r="H941" s="86" t="n"/>
      <c r="I941" s="86" t="n"/>
      <c r="J941" s="86" t="n"/>
      <c r="K941" s="86" t="n"/>
      <c r="L941" s="86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</row>
    <row r="942" ht="13.5" customHeight="1" s="108">
      <c r="A942" s="86" t="n"/>
      <c r="B942" s="86" t="n"/>
      <c r="C942" s="86" t="n"/>
      <c r="D942" s="86" t="n"/>
      <c r="E942" s="86" t="n"/>
      <c r="F942" s="86" t="n"/>
      <c r="G942" s="86" t="n"/>
      <c r="H942" s="86" t="n"/>
      <c r="I942" s="86" t="n"/>
      <c r="J942" s="86" t="n"/>
      <c r="K942" s="86" t="n"/>
      <c r="L942" s="86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</row>
    <row r="943" ht="13.5" customHeight="1" s="108">
      <c r="A943" s="86" t="n"/>
      <c r="B943" s="86" t="n"/>
      <c r="C943" s="86" t="n"/>
      <c r="D943" s="86" t="n"/>
      <c r="E943" s="86" t="n"/>
      <c r="F943" s="86" t="n"/>
      <c r="G943" s="86" t="n"/>
      <c r="H943" s="86" t="n"/>
      <c r="I943" s="86" t="n"/>
      <c r="J943" s="86" t="n"/>
      <c r="K943" s="86" t="n"/>
      <c r="L943" s="86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</row>
    <row r="944" ht="13.5" customHeight="1" s="108">
      <c r="A944" s="86" t="n"/>
      <c r="B944" s="86" t="n"/>
      <c r="C944" s="86" t="n"/>
      <c r="D944" s="86" t="n"/>
      <c r="E944" s="86" t="n"/>
      <c r="F944" s="86" t="n"/>
      <c r="G944" s="86" t="n"/>
      <c r="H944" s="86" t="n"/>
      <c r="I944" s="86" t="n"/>
      <c r="J944" s="86" t="n"/>
      <c r="K944" s="86" t="n"/>
      <c r="L944" s="86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</row>
    <row r="945" ht="13.5" customHeight="1" s="108">
      <c r="A945" s="86" t="n"/>
      <c r="B945" s="86" t="n"/>
      <c r="C945" s="86" t="n"/>
      <c r="D945" s="86" t="n"/>
      <c r="E945" s="86" t="n"/>
      <c r="F945" s="86" t="n"/>
      <c r="G945" s="86" t="n"/>
      <c r="H945" s="86" t="n"/>
      <c r="I945" s="86" t="n"/>
      <c r="J945" s="86" t="n"/>
      <c r="K945" s="86" t="n"/>
      <c r="L945" s="86" t="n"/>
      <c r="M945" s="86" t="n"/>
      <c r="N945" s="86" t="n"/>
      <c r="O945" s="86" t="n"/>
      <c r="P945" s="86" t="n"/>
      <c r="Q945" s="86" t="n"/>
      <c r="R945" s="86" t="n"/>
      <c r="S945" s="86" t="n"/>
      <c r="T945" s="86" t="n"/>
      <c r="U945" s="86" t="n"/>
      <c r="V945" s="86" t="n"/>
    </row>
    <row r="946" ht="13.5" customHeight="1" s="108">
      <c r="A946" s="86" t="n"/>
      <c r="B946" s="86" t="n"/>
      <c r="C946" s="86" t="n"/>
      <c r="D946" s="86" t="n"/>
      <c r="E946" s="86" t="n"/>
      <c r="F946" s="86" t="n"/>
      <c r="G946" s="86" t="n"/>
      <c r="H946" s="86" t="n"/>
      <c r="I946" s="86" t="n"/>
      <c r="J946" s="86" t="n"/>
      <c r="K946" s="86" t="n"/>
      <c r="L946" s="86" t="n"/>
      <c r="M946" s="86" t="n"/>
      <c r="N946" s="86" t="n"/>
      <c r="O946" s="86" t="n"/>
      <c r="P946" s="86" t="n"/>
      <c r="Q946" s="86" t="n"/>
      <c r="R946" s="86" t="n"/>
      <c r="S946" s="86" t="n"/>
      <c r="T946" s="86" t="n"/>
      <c r="U946" s="86" t="n"/>
      <c r="V946" s="86" t="n"/>
    </row>
    <row r="947" ht="13.5" customHeight="1" s="108">
      <c r="A947" s="86" t="n"/>
      <c r="B947" s="86" t="n"/>
      <c r="C947" s="86" t="n"/>
      <c r="D947" s="86" t="n"/>
      <c r="E947" s="86" t="n"/>
      <c r="F947" s="86" t="n"/>
      <c r="G947" s="86" t="n"/>
      <c r="H947" s="86" t="n"/>
      <c r="I947" s="86" t="n"/>
      <c r="J947" s="86" t="n"/>
      <c r="K947" s="86" t="n"/>
      <c r="L947" s="86" t="n"/>
      <c r="M947" s="86" t="n"/>
      <c r="N947" s="86" t="n"/>
      <c r="O947" s="86" t="n"/>
      <c r="P947" s="86" t="n"/>
      <c r="Q947" s="86" t="n"/>
      <c r="R947" s="86" t="n"/>
      <c r="S947" s="86" t="n"/>
      <c r="T947" s="86" t="n"/>
      <c r="U947" s="86" t="n"/>
      <c r="V947" s="86" t="n"/>
    </row>
    <row r="948" ht="13.5" customHeight="1" s="108">
      <c r="A948" s="86" t="n"/>
      <c r="B948" s="86" t="n"/>
      <c r="C948" s="86" t="n"/>
      <c r="D948" s="86" t="n"/>
      <c r="E948" s="86" t="n"/>
      <c r="F948" s="86" t="n"/>
      <c r="G948" s="86" t="n"/>
      <c r="H948" s="86" t="n"/>
      <c r="I948" s="86" t="n"/>
      <c r="J948" s="86" t="n"/>
      <c r="K948" s="86" t="n"/>
      <c r="L948" s="86" t="n"/>
      <c r="M948" s="86" t="n"/>
      <c r="N948" s="86" t="n"/>
      <c r="O948" s="86" t="n"/>
      <c r="P948" s="86" t="n"/>
      <c r="Q948" s="86" t="n"/>
      <c r="R948" s="86" t="n"/>
      <c r="S948" s="86" t="n"/>
      <c r="T948" s="86" t="n"/>
      <c r="U948" s="86" t="n"/>
      <c r="V948" s="86" t="n"/>
    </row>
    <row r="949" ht="13.5" customHeight="1" s="108">
      <c r="A949" s="86" t="n"/>
      <c r="B949" s="86" t="n"/>
      <c r="C949" s="86" t="n"/>
      <c r="D949" s="86" t="n"/>
      <c r="E949" s="86" t="n"/>
      <c r="F949" s="86" t="n"/>
      <c r="G949" s="86" t="n"/>
      <c r="H949" s="86" t="n"/>
      <c r="I949" s="86" t="n"/>
      <c r="J949" s="86" t="n"/>
      <c r="K949" s="86" t="n"/>
      <c r="L949" s="86" t="n"/>
      <c r="M949" s="86" t="n"/>
      <c r="N949" s="86" t="n"/>
      <c r="O949" s="86" t="n"/>
      <c r="P949" s="86" t="n"/>
      <c r="Q949" s="86" t="n"/>
      <c r="R949" s="86" t="n"/>
      <c r="S949" s="86" t="n"/>
      <c r="T949" s="86" t="n"/>
      <c r="U949" s="86" t="n"/>
      <c r="V949" s="86" t="n"/>
    </row>
    <row r="950" ht="13.5" customHeight="1" s="108">
      <c r="A950" s="86" t="n"/>
      <c r="B950" s="86" t="n"/>
      <c r="C950" s="86" t="n"/>
      <c r="D950" s="86" t="n"/>
      <c r="E950" s="86" t="n"/>
      <c r="F950" s="86" t="n"/>
      <c r="G950" s="86" t="n"/>
      <c r="H950" s="86" t="n"/>
      <c r="I950" s="86" t="n"/>
      <c r="J950" s="86" t="n"/>
      <c r="K950" s="86" t="n"/>
      <c r="L950" s="86" t="n"/>
      <c r="M950" s="86" t="n"/>
      <c r="N950" s="86" t="n"/>
      <c r="O950" s="86" t="n"/>
      <c r="P950" s="86" t="n"/>
      <c r="Q950" s="86" t="n"/>
      <c r="R950" s="86" t="n"/>
      <c r="S950" s="86" t="n"/>
      <c r="T950" s="86" t="n"/>
      <c r="U950" s="86" t="n"/>
      <c r="V950" s="86" t="n"/>
    </row>
    <row r="951" ht="13.5" customHeight="1" s="108">
      <c r="A951" s="86" t="n"/>
      <c r="B951" s="86" t="n"/>
      <c r="C951" s="86" t="n"/>
      <c r="D951" s="86" t="n"/>
      <c r="E951" s="86" t="n"/>
      <c r="F951" s="86" t="n"/>
      <c r="G951" s="86" t="n"/>
      <c r="H951" s="86" t="n"/>
      <c r="I951" s="86" t="n"/>
      <c r="J951" s="86" t="n"/>
      <c r="K951" s="86" t="n"/>
      <c r="L951" s="86" t="n"/>
      <c r="M951" s="86" t="n"/>
      <c r="N951" s="86" t="n"/>
      <c r="O951" s="86" t="n"/>
      <c r="P951" s="86" t="n"/>
      <c r="Q951" s="86" t="n"/>
      <c r="R951" s="86" t="n"/>
      <c r="S951" s="86" t="n"/>
      <c r="T951" s="86" t="n"/>
      <c r="U951" s="86" t="n"/>
      <c r="V951" s="86" t="n"/>
    </row>
    <row r="952" ht="13.5" customHeight="1" s="108">
      <c r="A952" s="86" t="n"/>
      <c r="B952" s="86" t="n"/>
      <c r="C952" s="86" t="n"/>
      <c r="D952" s="86" t="n"/>
      <c r="E952" s="86" t="n"/>
      <c r="F952" s="86" t="n"/>
      <c r="G952" s="86" t="n"/>
      <c r="H952" s="86" t="n"/>
      <c r="I952" s="86" t="n"/>
      <c r="J952" s="86" t="n"/>
      <c r="K952" s="86" t="n"/>
      <c r="L952" s="86" t="n"/>
      <c r="M952" s="86" t="n"/>
      <c r="N952" s="86" t="n"/>
      <c r="O952" s="86" t="n"/>
      <c r="P952" s="86" t="n"/>
      <c r="Q952" s="86" t="n"/>
      <c r="R952" s="86" t="n"/>
      <c r="S952" s="86" t="n"/>
      <c r="T952" s="86" t="n"/>
      <c r="U952" s="86" t="n"/>
      <c r="V952" s="86" t="n"/>
    </row>
    <row r="953" ht="13.5" customHeight="1" s="108">
      <c r="A953" s="86" t="n"/>
      <c r="B953" s="86" t="n"/>
      <c r="C953" s="86" t="n"/>
      <c r="D953" s="86" t="n"/>
      <c r="E953" s="86" t="n"/>
      <c r="F953" s="86" t="n"/>
      <c r="G953" s="86" t="n"/>
      <c r="H953" s="86" t="n"/>
      <c r="I953" s="86" t="n"/>
      <c r="J953" s="86" t="n"/>
      <c r="K953" s="86" t="n"/>
      <c r="L953" s="86" t="n"/>
      <c r="M953" s="86" t="n"/>
      <c r="N953" s="86" t="n"/>
      <c r="O953" s="86" t="n"/>
      <c r="P953" s="86" t="n"/>
      <c r="Q953" s="86" t="n"/>
      <c r="R953" s="86" t="n"/>
      <c r="S953" s="86" t="n"/>
      <c r="T953" s="86" t="n"/>
      <c r="U953" s="86" t="n"/>
      <c r="V953" s="86" t="n"/>
    </row>
    <row r="954" ht="13.5" customHeight="1" s="108">
      <c r="A954" s="86" t="n"/>
      <c r="B954" s="86" t="n"/>
      <c r="C954" s="86" t="n"/>
      <c r="D954" s="86" t="n"/>
      <c r="E954" s="86" t="n"/>
      <c r="F954" s="86" t="n"/>
      <c r="G954" s="86" t="n"/>
      <c r="H954" s="86" t="n"/>
      <c r="I954" s="86" t="n"/>
      <c r="J954" s="86" t="n"/>
      <c r="K954" s="86" t="n"/>
      <c r="L954" s="86" t="n"/>
      <c r="M954" s="86" t="n"/>
      <c r="N954" s="86" t="n"/>
      <c r="O954" s="86" t="n"/>
      <c r="P954" s="86" t="n"/>
      <c r="Q954" s="86" t="n"/>
      <c r="R954" s="86" t="n"/>
      <c r="S954" s="86" t="n"/>
      <c r="T954" s="86" t="n"/>
      <c r="U954" s="86" t="n"/>
      <c r="V954" s="86" t="n"/>
    </row>
    <row r="955" ht="13.5" customHeight="1" s="108">
      <c r="A955" s="86" t="n"/>
      <c r="B955" s="86" t="n"/>
      <c r="C955" s="86" t="n"/>
      <c r="D955" s="86" t="n"/>
      <c r="E955" s="86" t="n"/>
      <c r="F955" s="86" t="n"/>
      <c r="G955" s="86" t="n"/>
      <c r="H955" s="86" t="n"/>
      <c r="I955" s="86" t="n"/>
      <c r="J955" s="86" t="n"/>
      <c r="K955" s="86" t="n"/>
      <c r="L955" s="86" t="n"/>
      <c r="M955" s="86" t="n"/>
      <c r="N955" s="86" t="n"/>
      <c r="O955" s="86" t="n"/>
      <c r="P955" s="86" t="n"/>
      <c r="Q955" s="86" t="n"/>
      <c r="R955" s="86" t="n"/>
      <c r="S955" s="86" t="n"/>
      <c r="T955" s="86" t="n"/>
      <c r="U955" s="86" t="n"/>
      <c r="V955" s="86" t="n"/>
    </row>
    <row r="956" ht="13.5" customHeight="1" s="108">
      <c r="A956" s="86" t="n"/>
      <c r="B956" s="86" t="n"/>
      <c r="C956" s="86" t="n"/>
      <c r="D956" s="86" t="n"/>
      <c r="E956" s="86" t="n"/>
      <c r="F956" s="86" t="n"/>
      <c r="G956" s="86" t="n"/>
      <c r="H956" s="86" t="n"/>
      <c r="I956" s="86" t="n"/>
      <c r="J956" s="86" t="n"/>
      <c r="K956" s="86" t="n"/>
      <c r="L956" s="86" t="n"/>
      <c r="M956" s="86" t="n"/>
      <c r="N956" s="86" t="n"/>
      <c r="O956" s="86" t="n"/>
      <c r="P956" s="86" t="n"/>
      <c r="Q956" s="86" t="n"/>
      <c r="R956" s="86" t="n"/>
      <c r="S956" s="86" t="n"/>
      <c r="T956" s="86" t="n"/>
      <c r="U956" s="86" t="n"/>
      <c r="V956" s="86" t="n"/>
    </row>
    <row r="957" ht="13.5" customHeight="1" s="108">
      <c r="A957" s="86" t="n"/>
      <c r="B957" s="86" t="n"/>
      <c r="C957" s="86" t="n"/>
      <c r="D957" s="86" t="n"/>
      <c r="E957" s="86" t="n"/>
      <c r="F957" s="86" t="n"/>
      <c r="G957" s="86" t="n"/>
      <c r="H957" s="86" t="n"/>
      <c r="I957" s="86" t="n"/>
      <c r="J957" s="86" t="n"/>
      <c r="K957" s="86" t="n"/>
      <c r="L957" s="86" t="n"/>
      <c r="M957" s="86" t="n"/>
      <c r="N957" s="86" t="n"/>
      <c r="O957" s="86" t="n"/>
      <c r="P957" s="86" t="n"/>
      <c r="Q957" s="86" t="n"/>
      <c r="R957" s="86" t="n"/>
      <c r="S957" s="86" t="n"/>
      <c r="T957" s="86" t="n"/>
      <c r="U957" s="86" t="n"/>
      <c r="V957" s="86" t="n"/>
    </row>
    <row r="958" ht="13.5" customHeight="1" s="108">
      <c r="A958" s="86" t="n"/>
      <c r="B958" s="86" t="n"/>
      <c r="C958" s="86" t="n"/>
      <c r="D958" s="86" t="n"/>
      <c r="E958" s="86" t="n"/>
      <c r="F958" s="86" t="n"/>
      <c r="G958" s="86" t="n"/>
      <c r="H958" s="86" t="n"/>
      <c r="I958" s="86" t="n"/>
      <c r="J958" s="86" t="n"/>
      <c r="K958" s="86" t="n"/>
      <c r="L958" s="86" t="n"/>
      <c r="M958" s="86" t="n"/>
      <c r="N958" s="86" t="n"/>
      <c r="O958" s="86" t="n"/>
      <c r="P958" s="86" t="n"/>
      <c r="Q958" s="86" t="n"/>
      <c r="R958" s="86" t="n"/>
      <c r="S958" s="86" t="n"/>
      <c r="T958" s="86" t="n"/>
      <c r="U958" s="86" t="n"/>
      <c r="V958" s="86" t="n"/>
    </row>
    <row r="959" ht="13.5" customHeight="1" s="108">
      <c r="A959" s="86" t="n"/>
      <c r="B959" s="86" t="n"/>
      <c r="C959" s="86" t="n"/>
      <c r="D959" s="86" t="n"/>
      <c r="E959" s="86" t="n"/>
      <c r="F959" s="86" t="n"/>
      <c r="G959" s="86" t="n"/>
      <c r="H959" s="86" t="n"/>
      <c r="I959" s="86" t="n"/>
      <c r="J959" s="86" t="n"/>
      <c r="K959" s="86" t="n"/>
      <c r="L959" s="86" t="n"/>
      <c r="M959" s="86" t="n"/>
      <c r="N959" s="86" t="n"/>
      <c r="O959" s="86" t="n"/>
      <c r="P959" s="86" t="n"/>
      <c r="Q959" s="86" t="n"/>
      <c r="R959" s="86" t="n"/>
      <c r="S959" s="86" t="n"/>
      <c r="T959" s="86" t="n"/>
      <c r="U959" s="86" t="n"/>
      <c r="V959" s="86" t="n"/>
    </row>
    <row r="960" ht="13.5" customHeight="1" s="108">
      <c r="A960" s="86" t="n"/>
      <c r="B960" s="86" t="n"/>
      <c r="C960" s="86" t="n"/>
      <c r="D960" s="86" t="n"/>
      <c r="E960" s="86" t="n"/>
      <c r="F960" s="86" t="n"/>
      <c r="G960" s="86" t="n"/>
      <c r="H960" s="86" t="n"/>
      <c r="I960" s="86" t="n"/>
      <c r="J960" s="86" t="n"/>
      <c r="K960" s="86" t="n"/>
      <c r="L960" s="86" t="n"/>
      <c r="M960" s="86" t="n"/>
      <c r="N960" s="86" t="n"/>
      <c r="O960" s="86" t="n"/>
      <c r="P960" s="86" t="n"/>
      <c r="Q960" s="86" t="n"/>
      <c r="R960" s="86" t="n"/>
      <c r="S960" s="86" t="n"/>
      <c r="T960" s="86" t="n"/>
      <c r="U960" s="86" t="n"/>
      <c r="V960" s="86" t="n"/>
    </row>
    <row r="961" ht="13.5" customHeight="1" s="108">
      <c r="A961" s="86" t="n"/>
      <c r="B961" s="86" t="n"/>
      <c r="C961" s="86" t="n"/>
      <c r="D961" s="86" t="n"/>
      <c r="E961" s="86" t="n"/>
      <c r="F961" s="86" t="n"/>
      <c r="G961" s="86" t="n"/>
      <c r="H961" s="86" t="n"/>
      <c r="I961" s="86" t="n"/>
      <c r="J961" s="86" t="n"/>
      <c r="K961" s="86" t="n"/>
      <c r="L961" s="86" t="n"/>
      <c r="M961" s="86" t="n"/>
      <c r="N961" s="86" t="n"/>
      <c r="O961" s="86" t="n"/>
      <c r="P961" s="86" t="n"/>
      <c r="Q961" s="86" t="n"/>
      <c r="R961" s="86" t="n"/>
      <c r="S961" s="86" t="n"/>
      <c r="T961" s="86" t="n"/>
      <c r="U961" s="86" t="n"/>
      <c r="V961" s="86" t="n"/>
    </row>
    <row r="962" ht="13.5" customHeight="1" s="108">
      <c r="A962" s="86" t="n"/>
      <c r="B962" s="86" t="n"/>
      <c r="C962" s="86" t="n"/>
      <c r="D962" s="86" t="n"/>
      <c r="E962" s="86" t="n"/>
      <c r="F962" s="86" t="n"/>
      <c r="G962" s="86" t="n"/>
      <c r="H962" s="86" t="n"/>
      <c r="I962" s="86" t="n"/>
      <c r="J962" s="86" t="n"/>
      <c r="K962" s="86" t="n"/>
      <c r="L962" s="86" t="n"/>
      <c r="M962" s="86" t="n"/>
      <c r="N962" s="86" t="n"/>
      <c r="O962" s="86" t="n"/>
      <c r="P962" s="86" t="n"/>
      <c r="Q962" s="86" t="n"/>
      <c r="R962" s="86" t="n"/>
      <c r="S962" s="86" t="n"/>
      <c r="T962" s="86" t="n"/>
      <c r="U962" s="86" t="n"/>
      <c r="V962" s="86" t="n"/>
    </row>
    <row r="963" ht="13.5" customHeight="1" s="108">
      <c r="A963" s="86" t="n"/>
      <c r="B963" s="86" t="n"/>
      <c r="C963" s="86" t="n"/>
      <c r="D963" s="86" t="n"/>
      <c r="E963" s="86" t="n"/>
      <c r="F963" s="86" t="n"/>
      <c r="G963" s="86" t="n"/>
      <c r="H963" s="86" t="n"/>
      <c r="I963" s="86" t="n"/>
      <c r="J963" s="86" t="n"/>
      <c r="K963" s="86" t="n"/>
      <c r="L963" s="86" t="n"/>
      <c r="M963" s="86" t="n"/>
      <c r="N963" s="86" t="n"/>
      <c r="O963" s="86" t="n"/>
      <c r="P963" s="86" t="n"/>
      <c r="Q963" s="86" t="n"/>
      <c r="R963" s="86" t="n"/>
      <c r="S963" s="86" t="n"/>
      <c r="T963" s="86" t="n"/>
      <c r="U963" s="86" t="n"/>
      <c r="V963" s="86" t="n"/>
    </row>
    <row r="964" ht="13.5" customHeight="1" s="108">
      <c r="A964" s="86" t="n"/>
      <c r="B964" s="86" t="n"/>
      <c r="C964" s="86" t="n"/>
      <c r="D964" s="86" t="n"/>
      <c r="E964" s="86" t="n"/>
      <c r="F964" s="86" t="n"/>
      <c r="G964" s="86" t="n"/>
      <c r="H964" s="86" t="n"/>
      <c r="I964" s="86" t="n"/>
      <c r="J964" s="86" t="n"/>
      <c r="K964" s="86" t="n"/>
      <c r="L964" s="86" t="n"/>
      <c r="M964" s="86" t="n"/>
      <c r="N964" s="86" t="n"/>
      <c r="O964" s="86" t="n"/>
      <c r="P964" s="86" t="n"/>
      <c r="Q964" s="86" t="n"/>
      <c r="R964" s="86" t="n"/>
      <c r="S964" s="86" t="n"/>
      <c r="T964" s="86" t="n"/>
      <c r="U964" s="86" t="n"/>
      <c r="V964" s="86" t="n"/>
    </row>
    <row r="965" ht="13.5" customHeight="1" s="108">
      <c r="A965" s="86" t="n"/>
      <c r="B965" s="86" t="n"/>
      <c r="C965" s="86" t="n"/>
      <c r="D965" s="86" t="n"/>
      <c r="E965" s="86" t="n"/>
      <c r="F965" s="86" t="n"/>
      <c r="G965" s="86" t="n"/>
      <c r="H965" s="86" t="n"/>
      <c r="I965" s="86" t="n"/>
      <c r="J965" s="86" t="n"/>
      <c r="K965" s="86" t="n"/>
      <c r="L965" s="86" t="n"/>
      <c r="M965" s="86" t="n"/>
      <c r="N965" s="86" t="n"/>
      <c r="O965" s="86" t="n"/>
      <c r="P965" s="86" t="n"/>
      <c r="Q965" s="86" t="n"/>
      <c r="R965" s="86" t="n"/>
      <c r="S965" s="86" t="n"/>
      <c r="T965" s="86" t="n"/>
      <c r="U965" s="86" t="n"/>
      <c r="V965" s="86" t="n"/>
    </row>
    <row r="966" ht="13.5" customHeight="1" s="108">
      <c r="A966" s="86" t="n"/>
      <c r="B966" s="86" t="n"/>
      <c r="C966" s="86" t="n"/>
      <c r="D966" s="86" t="n"/>
      <c r="E966" s="86" t="n"/>
      <c r="F966" s="86" t="n"/>
      <c r="G966" s="86" t="n"/>
      <c r="H966" s="86" t="n"/>
      <c r="I966" s="86" t="n"/>
      <c r="J966" s="86" t="n"/>
      <c r="K966" s="86" t="n"/>
      <c r="L966" s="86" t="n"/>
      <c r="M966" s="86" t="n"/>
      <c r="N966" s="86" t="n"/>
      <c r="O966" s="86" t="n"/>
      <c r="P966" s="86" t="n"/>
      <c r="Q966" s="86" t="n"/>
      <c r="R966" s="86" t="n"/>
      <c r="S966" s="86" t="n"/>
      <c r="T966" s="86" t="n"/>
      <c r="U966" s="86" t="n"/>
      <c r="V966" s="86" t="n"/>
    </row>
    <row r="967" ht="13.5" customHeight="1" s="108">
      <c r="A967" s="86" t="n"/>
      <c r="B967" s="86" t="n"/>
      <c r="C967" s="86" t="n"/>
      <c r="D967" s="86" t="n"/>
      <c r="E967" s="86" t="n"/>
      <c r="F967" s="86" t="n"/>
      <c r="G967" s="86" t="n"/>
      <c r="H967" s="86" t="n"/>
      <c r="I967" s="86" t="n"/>
      <c r="J967" s="86" t="n"/>
      <c r="K967" s="86" t="n"/>
      <c r="L967" s="86" t="n"/>
      <c r="M967" s="86" t="n"/>
      <c r="N967" s="86" t="n"/>
      <c r="O967" s="86" t="n"/>
      <c r="P967" s="86" t="n"/>
      <c r="Q967" s="86" t="n"/>
      <c r="R967" s="86" t="n"/>
      <c r="S967" s="86" t="n"/>
      <c r="T967" s="86" t="n"/>
      <c r="U967" s="86" t="n"/>
      <c r="V967" s="86" t="n"/>
    </row>
    <row r="968" ht="13.5" customHeight="1" s="108">
      <c r="A968" s="86" t="n"/>
      <c r="B968" s="86" t="n"/>
      <c r="C968" s="86" t="n"/>
      <c r="D968" s="86" t="n"/>
      <c r="E968" s="86" t="n"/>
      <c r="F968" s="86" t="n"/>
      <c r="G968" s="86" t="n"/>
      <c r="H968" s="86" t="n"/>
      <c r="I968" s="86" t="n"/>
      <c r="J968" s="86" t="n"/>
      <c r="K968" s="86" t="n"/>
      <c r="L968" s="86" t="n"/>
      <c r="M968" s="86" t="n"/>
      <c r="N968" s="86" t="n"/>
      <c r="O968" s="86" t="n"/>
      <c r="P968" s="86" t="n"/>
      <c r="Q968" s="86" t="n"/>
      <c r="R968" s="86" t="n"/>
      <c r="S968" s="86" t="n"/>
      <c r="T968" s="86" t="n"/>
      <c r="U968" s="86" t="n"/>
      <c r="V968" s="86" t="n"/>
    </row>
    <row r="969" ht="13.5" customHeight="1" s="108">
      <c r="A969" s="86" t="n"/>
      <c r="B969" s="86" t="n"/>
      <c r="C969" s="86" t="n"/>
      <c r="D969" s="86" t="n"/>
      <c r="E969" s="86" t="n"/>
      <c r="F969" s="86" t="n"/>
      <c r="G969" s="86" t="n"/>
      <c r="H969" s="86" t="n"/>
      <c r="I969" s="86" t="n"/>
      <c r="J969" s="86" t="n"/>
      <c r="K969" s="86" t="n"/>
      <c r="L969" s="86" t="n"/>
      <c r="M969" s="86" t="n"/>
      <c r="N969" s="86" t="n"/>
      <c r="O969" s="86" t="n"/>
      <c r="P969" s="86" t="n"/>
      <c r="Q969" s="86" t="n"/>
      <c r="R969" s="86" t="n"/>
      <c r="S969" s="86" t="n"/>
      <c r="T969" s="86" t="n"/>
      <c r="U969" s="86" t="n"/>
      <c r="V969" s="86" t="n"/>
    </row>
    <row r="970" ht="13.5" customHeight="1" s="108">
      <c r="A970" s="86" t="n"/>
      <c r="B970" s="86" t="n"/>
      <c r="C970" s="86" t="n"/>
      <c r="D970" s="86" t="n"/>
      <c r="E970" s="86" t="n"/>
      <c r="F970" s="86" t="n"/>
      <c r="G970" s="86" t="n"/>
      <c r="H970" s="86" t="n"/>
      <c r="I970" s="86" t="n"/>
      <c r="J970" s="86" t="n"/>
      <c r="K970" s="86" t="n"/>
      <c r="L970" s="86" t="n"/>
      <c r="M970" s="86" t="n"/>
      <c r="N970" s="86" t="n"/>
      <c r="O970" s="86" t="n"/>
      <c r="P970" s="86" t="n"/>
      <c r="Q970" s="86" t="n"/>
      <c r="R970" s="86" t="n"/>
      <c r="S970" s="86" t="n"/>
      <c r="T970" s="86" t="n"/>
      <c r="U970" s="86" t="n"/>
      <c r="V970" s="86" t="n"/>
    </row>
    <row r="971" ht="13.5" customHeight="1" s="108">
      <c r="A971" s="86" t="n"/>
      <c r="B971" s="86" t="n"/>
      <c r="C971" s="86" t="n"/>
      <c r="D971" s="86" t="n"/>
      <c r="E971" s="86" t="n"/>
      <c r="F971" s="86" t="n"/>
      <c r="G971" s="86" t="n"/>
      <c r="H971" s="86" t="n"/>
      <c r="I971" s="86" t="n"/>
      <c r="J971" s="86" t="n"/>
      <c r="K971" s="86" t="n"/>
      <c r="L971" s="86" t="n"/>
      <c r="M971" s="86" t="n"/>
      <c r="N971" s="86" t="n"/>
      <c r="O971" s="86" t="n"/>
      <c r="P971" s="86" t="n"/>
      <c r="Q971" s="86" t="n"/>
      <c r="R971" s="86" t="n"/>
      <c r="S971" s="86" t="n"/>
      <c r="T971" s="86" t="n"/>
      <c r="U971" s="86" t="n"/>
      <c r="V971" s="86" t="n"/>
    </row>
    <row r="972" ht="13.5" customHeight="1" s="108">
      <c r="A972" s="86" t="n"/>
      <c r="B972" s="86" t="n"/>
      <c r="C972" s="86" t="n"/>
      <c r="D972" s="86" t="n"/>
      <c r="E972" s="86" t="n"/>
      <c r="F972" s="86" t="n"/>
      <c r="G972" s="86" t="n"/>
      <c r="H972" s="86" t="n"/>
      <c r="I972" s="86" t="n"/>
      <c r="J972" s="86" t="n"/>
      <c r="K972" s="86" t="n"/>
      <c r="L972" s="86" t="n"/>
      <c r="M972" s="86" t="n"/>
      <c r="N972" s="86" t="n"/>
      <c r="O972" s="86" t="n"/>
      <c r="P972" s="86" t="n"/>
      <c r="Q972" s="86" t="n"/>
      <c r="R972" s="86" t="n"/>
      <c r="S972" s="86" t="n"/>
      <c r="T972" s="86" t="n"/>
      <c r="U972" s="86" t="n"/>
      <c r="V972" s="86" t="n"/>
    </row>
    <row r="973" ht="13.5" customHeight="1" s="108">
      <c r="A973" s="86" t="n"/>
      <c r="B973" s="86" t="n"/>
      <c r="C973" s="86" t="n"/>
      <c r="D973" s="86" t="n"/>
      <c r="E973" s="86" t="n"/>
      <c r="F973" s="86" t="n"/>
      <c r="G973" s="86" t="n"/>
      <c r="H973" s="86" t="n"/>
      <c r="I973" s="86" t="n"/>
      <c r="J973" s="86" t="n"/>
      <c r="K973" s="86" t="n"/>
      <c r="L973" s="86" t="n"/>
      <c r="M973" s="86" t="n"/>
      <c r="N973" s="86" t="n"/>
      <c r="O973" s="86" t="n"/>
      <c r="P973" s="86" t="n"/>
      <c r="Q973" s="86" t="n"/>
      <c r="R973" s="86" t="n"/>
      <c r="S973" s="86" t="n"/>
      <c r="T973" s="86" t="n"/>
      <c r="U973" s="86" t="n"/>
      <c r="V973" s="86" t="n"/>
    </row>
    <row r="974" ht="13.5" customHeight="1" s="108">
      <c r="A974" s="86" t="n"/>
      <c r="B974" s="86" t="n"/>
      <c r="C974" s="86" t="n"/>
      <c r="D974" s="86" t="n"/>
      <c r="E974" s="86" t="n"/>
      <c r="F974" s="86" t="n"/>
      <c r="G974" s="86" t="n"/>
      <c r="H974" s="86" t="n"/>
      <c r="I974" s="86" t="n"/>
      <c r="J974" s="86" t="n"/>
      <c r="K974" s="86" t="n"/>
      <c r="L974" s="86" t="n"/>
      <c r="M974" s="86" t="n"/>
      <c r="N974" s="86" t="n"/>
      <c r="O974" s="86" t="n"/>
      <c r="P974" s="86" t="n"/>
      <c r="Q974" s="86" t="n"/>
      <c r="R974" s="86" t="n"/>
      <c r="S974" s="86" t="n"/>
      <c r="T974" s="86" t="n"/>
      <c r="U974" s="86" t="n"/>
      <c r="V974" s="86" t="n"/>
    </row>
    <row r="975" ht="13.5" customHeight="1" s="108">
      <c r="A975" s="86" t="n"/>
      <c r="B975" s="86" t="n"/>
      <c r="C975" s="86" t="n"/>
      <c r="D975" s="86" t="n"/>
      <c r="E975" s="86" t="n"/>
      <c r="F975" s="86" t="n"/>
      <c r="G975" s="86" t="n"/>
      <c r="H975" s="86" t="n"/>
      <c r="I975" s="86" t="n"/>
      <c r="J975" s="86" t="n"/>
      <c r="K975" s="86" t="n"/>
      <c r="L975" s="86" t="n"/>
      <c r="M975" s="86" t="n"/>
      <c r="N975" s="86" t="n"/>
      <c r="O975" s="86" t="n"/>
      <c r="P975" s="86" t="n"/>
      <c r="Q975" s="86" t="n"/>
      <c r="R975" s="86" t="n"/>
      <c r="S975" s="86" t="n"/>
      <c r="T975" s="86" t="n"/>
      <c r="U975" s="86" t="n"/>
      <c r="V975" s="86" t="n"/>
    </row>
    <row r="976" ht="13.5" customHeight="1" s="108">
      <c r="A976" s="86" t="n"/>
      <c r="B976" s="86" t="n"/>
      <c r="C976" s="86" t="n"/>
      <c r="D976" s="86" t="n"/>
      <c r="E976" s="86" t="n"/>
      <c r="F976" s="86" t="n"/>
      <c r="G976" s="86" t="n"/>
      <c r="H976" s="86" t="n"/>
      <c r="I976" s="86" t="n"/>
      <c r="J976" s="86" t="n"/>
      <c r="K976" s="86" t="n"/>
      <c r="L976" s="86" t="n"/>
      <c r="M976" s="86" t="n"/>
      <c r="N976" s="86" t="n"/>
      <c r="O976" s="86" t="n"/>
      <c r="P976" s="86" t="n"/>
      <c r="Q976" s="86" t="n"/>
      <c r="R976" s="86" t="n"/>
      <c r="S976" s="86" t="n"/>
      <c r="T976" s="86" t="n"/>
      <c r="U976" s="86" t="n"/>
      <c r="V976" s="86" t="n"/>
    </row>
    <row r="977" ht="13.5" customHeight="1" s="108">
      <c r="A977" s="86" t="n"/>
      <c r="B977" s="86" t="n"/>
      <c r="C977" s="86" t="n"/>
      <c r="D977" s="86" t="n"/>
      <c r="E977" s="86" t="n"/>
      <c r="F977" s="86" t="n"/>
      <c r="G977" s="86" t="n"/>
      <c r="H977" s="86" t="n"/>
      <c r="I977" s="86" t="n"/>
      <c r="J977" s="86" t="n"/>
      <c r="K977" s="86" t="n"/>
      <c r="L977" s="86" t="n"/>
      <c r="M977" s="86" t="n"/>
      <c r="N977" s="86" t="n"/>
      <c r="O977" s="86" t="n"/>
      <c r="P977" s="86" t="n"/>
      <c r="Q977" s="86" t="n"/>
      <c r="R977" s="86" t="n"/>
      <c r="S977" s="86" t="n"/>
      <c r="T977" s="86" t="n"/>
      <c r="U977" s="86" t="n"/>
      <c r="V977" s="86" t="n"/>
    </row>
    <row r="978" ht="13.5" customHeight="1" s="108">
      <c r="A978" s="86" t="n"/>
      <c r="B978" s="86" t="n"/>
      <c r="C978" s="86" t="n"/>
      <c r="D978" s="86" t="n"/>
      <c r="E978" s="86" t="n"/>
      <c r="F978" s="86" t="n"/>
      <c r="G978" s="86" t="n"/>
      <c r="H978" s="86" t="n"/>
      <c r="I978" s="86" t="n"/>
      <c r="J978" s="86" t="n"/>
      <c r="K978" s="86" t="n"/>
      <c r="L978" s="86" t="n"/>
      <c r="M978" s="86" t="n"/>
      <c r="N978" s="86" t="n"/>
      <c r="O978" s="86" t="n"/>
      <c r="P978" s="86" t="n"/>
      <c r="Q978" s="86" t="n"/>
      <c r="R978" s="86" t="n"/>
      <c r="S978" s="86" t="n"/>
      <c r="T978" s="86" t="n"/>
      <c r="U978" s="86" t="n"/>
      <c r="V978" s="86" t="n"/>
    </row>
    <row r="979" ht="13.5" customHeight="1" s="108">
      <c r="A979" s="86" t="n"/>
      <c r="B979" s="86" t="n"/>
      <c r="C979" s="86" t="n"/>
      <c r="D979" s="86" t="n"/>
      <c r="E979" s="86" t="n"/>
      <c r="F979" s="86" t="n"/>
      <c r="G979" s="86" t="n"/>
      <c r="H979" s="86" t="n"/>
      <c r="I979" s="86" t="n"/>
      <c r="J979" s="86" t="n"/>
      <c r="K979" s="86" t="n"/>
      <c r="L979" s="86" t="n"/>
      <c r="M979" s="86" t="n"/>
      <c r="N979" s="86" t="n"/>
      <c r="O979" s="86" t="n"/>
      <c r="P979" s="86" t="n"/>
      <c r="Q979" s="86" t="n"/>
      <c r="R979" s="86" t="n"/>
      <c r="S979" s="86" t="n"/>
      <c r="T979" s="86" t="n"/>
      <c r="U979" s="86" t="n"/>
      <c r="V979" s="86" t="n"/>
    </row>
    <row r="980" ht="13.5" customHeight="1" s="108">
      <c r="A980" s="86" t="n"/>
      <c r="B980" s="86" t="n"/>
      <c r="C980" s="86" t="n"/>
      <c r="D980" s="86" t="n"/>
      <c r="E980" s="86" t="n"/>
      <c r="F980" s="86" t="n"/>
      <c r="G980" s="86" t="n"/>
      <c r="H980" s="86" t="n"/>
      <c r="I980" s="86" t="n"/>
      <c r="J980" s="86" t="n"/>
      <c r="K980" s="86" t="n"/>
      <c r="L980" s="86" t="n"/>
      <c r="M980" s="86" t="n"/>
      <c r="N980" s="86" t="n"/>
      <c r="O980" s="86" t="n"/>
      <c r="P980" s="86" t="n"/>
      <c r="Q980" s="86" t="n"/>
      <c r="R980" s="86" t="n"/>
      <c r="S980" s="86" t="n"/>
      <c r="T980" s="86" t="n"/>
      <c r="U980" s="86" t="n"/>
      <c r="V980" s="86" t="n"/>
    </row>
    <row r="981" ht="13.5" customHeight="1" s="108">
      <c r="A981" s="86" t="n"/>
      <c r="B981" s="86" t="n"/>
      <c r="C981" s="86" t="n"/>
      <c r="D981" s="86" t="n"/>
      <c r="E981" s="86" t="n"/>
      <c r="F981" s="86" t="n"/>
      <c r="G981" s="86" t="n"/>
      <c r="H981" s="86" t="n"/>
      <c r="I981" s="86" t="n"/>
      <c r="J981" s="86" t="n"/>
      <c r="K981" s="86" t="n"/>
      <c r="L981" s="86" t="n"/>
      <c r="M981" s="86" t="n"/>
      <c r="N981" s="86" t="n"/>
      <c r="O981" s="86" t="n"/>
      <c r="P981" s="86" t="n"/>
      <c r="Q981" s="86" t="n"/>
      <c r="R981" s="86" t="n"/>
      <c r="S981" s="86" t="n"/>
      <c r="T981" s="86" t="n"/>
      <c r="U981" s="86" t="n"/>
      <c r="V981" s="86" t="n"/>
    </row>
    <row r="982" ht="13.5" customHeight="1" s="108">
      <c r="A982" s="86" t="n"/>
      <c r="B982" s="86" t="n"/>
      <c r="C982" s="86" t="n"/>
      <c r="D982" s="86" t="n"/>
      <c r="E982" s="86" t="n"/>
      <c r="F982" s="86" t="n"/>
      <c r="G982" s="86" t="n"/>
      <c r="H982" s="86" t="n"/>
      <c r="I982" s="86" t="n"/>
      <c r="J982" s="86" t="n"/>
      <c r="K982" s="86" t="n"/>
      <c r="L982" s="86" t="n"/>
      <c r="M982" s="86" t="n"/>
      <c r="N982" s="86" t="n"/>
      <c r="O982" s="86" t="n"/>
      <c r="P982" s="86" t="n"/>
      <c r="Q982" s="86" t="n"/>
      <c r="R982" s="86" t="n"/>
      <c r="S982" s="86" t="n"/>
      <c r="T982" s="86" t="n"/>
      <c r="U982" s="86" t="n"/>
      <c r="V982" s="86" t="n"/>
    </row>
    <row r="983" ht="13.5" customHeight="1" s="108">
      <c r="A983" s="86" t="n"/>
      <c r="B983" s="86" t="n"/>
      <c r="C983" s="86" t="n"/>
      <c r="D983" s="86" t="n"/>
      <c r="E983" s="86" t="n"/>
      <c r="F983" s="86" t="n"/>
      <c r="G983" s="86" t="n"/>
      <c r="H983" s="86" t="n"/>
      <c r="I983" s="86" t="n"/>
      <c r="J983" s="86" t="n"/>
      <c r="K983" s="86" t="n"/>
      <c r="L983" s="86" t="n"/>
      <c r="M983" s="86" t="n"/>
      <c r="N983" s="86" t="n"/>
      <c r="O983" s="86" t="n"/>
      <c r="P983" s="86" t="n"/>
      <c r="Q983" s="86" t="n"/>
      <c r="R983" s="86" t="n"/>
      <c r="S983" s="86" t="n"/>
      <c r="T983" s="86" t="n"/>
      <c r="U983" s="86" t="n"/>
      <c r="V983" s="86" t="n"/>
    </row>
    <row r="984" ht="13.5" customHeight="1" s="108">
      <c r="A984" s="86" t="n"/>
      <c r="B984" s="86" t="n"/>
      <c r="C984" s="86" t="n"/>
      <c r="D984" s="86" t="n"/>
      <c r="E984" s="86" t="n"/>
      <c r="F984" s="86" t="n"/>
      <c r="G984" s="86" t="n"/>
      <c r="H984" s="86" t="n"/>
      <c r="I984" s="86" t="n"/>
      <c r="J984" s="86" t="n"/>
      <c r="K984" s="86" t="n"/>
      <c r="L984" s="86" t="n"/>
      <c r="M984" s="86" t="n"/>
      <c r="N984" s="86" t="n"/>
      <c r="O984" s="86" t="n"/>
      <c r="P984" s="86" t="n"/>
      <c r="Q984" s="86" t="n"/>
      <c r="R984" s="86" t="n"/>
      <c r="S984" s="86" t="n"/>
      <c r="T984" s="86" t="n"/>
      <c r="U984" s="86" t="n"/>
      <c r="V984" s="86" t="n"/>
    </row>
    <row r="985" ht="13.5" customHeight="1" s="108">
      <c r="A985" s="86" t="n"/>
      <c r="B985" s="86" t="n"/>
      <c r="C985" s="86" t="n"/>
      <c r="D985" s="86" t="n"/>
      <c r="E985" s="86" t="n"/>
      <c r="F985" s="86" t="n"/>
      <c r="G985" s="86" t="n"/>
      <c r="H985" s="86" t="n"/>
      <c r="I985" s="86" t="n"/>
      <c r="J985" s="86" t="n"/>
      <c r="K985" s="86" t="n"/>
      <c r="L985" s="86" t="n"/>
      <c r="M985" s="86" t="n"/>
      <c r="N985" s="86" t="n"/>
      <c r="O985" s="86" t="n"/>
      <c r="P985" s="86" t="n"/>
      <c r="Q985" s="86" t="n"/>
      <c r="R985" s="86" t="n"/>
      <c r="S985" s="86" t="n"/>
      <c r="T985" s="86" t="n"/>
      <c r="U985" s="86" t="n"/>
      <c r="V985" s="86" t="n"/>
    </row>
    <row r="986" ht="13.5" customHeight="1" s="108">
      <c r="A986" s="86" t="n"/>
      <c r="B986" s="86" t="n"/>
      <c r="C986" s="86" t="n"/>
      <c r="D986" s="86" t="n"/>
      <c r="E986" s="86" t="n"/>
      <c r="F986" s="86" t="n"/>
      <c r="G986" s="86" t="n"/>
      <c r="H986" s="86" t="n"/>
      <c r="I986" s="86" t="n"/>
      <c r="J986" s="86" t="n"/>
      <c r="K986" s="86" t="n"/>
      <c r="L986" s="86" t="n"/>
      <c r="M986" s="86" t="n"/>
      <c r="N986" s="86" t="n"/>
      <c r="O986" s="86" t="n"/>
      <c r="P986" s="86" t="n"/>
      <c r="Q986" s="86" t="n"/>
      <c r="R986" s="86" t="n"/>
      <c r="S986" s="86" t="n"/>
      <c r="T986" s="86" t="n"/>
      <c r="U986" s="86" t="n"/>
      <c r="V986" s="86" t="n"/>
    </row>
    <row r="987" ht="13.5" customHeight="1" s="108">
      <c r="A987" s="86" t="n"/>
      <c r="B987" s="86" t="n"/>
      <c r="C987" s="86" t="n"/>
      <c r="D987" s="86" t="n"/>
      <c r="E987" s="86" t="n"/>
      <c r="F987" s="86" t="n"/>
      <c r="G987" s="86" t="n"/>
      <c r="H987" s="86" t="n"/>
      <c r="I987" s="86" t="n"/>
      <c r="J987" s="86" t="n"/>
      <c r="K987" s="86" t="n"/>
      <c r="L987" s="86" t="n"/>
      <c r="M987" s="86" t="n"/>
      <c r="N987" s="86" t="n"/>
      <c r="O987" s="86" t="n"/>
      <c r="P987" s="86" t="n"/>
      <c r="Q987" s="86" t="n"/>
      <c r="R987" s="86" t="n"/>
      <c r="S987" s="86" t="n"/>
      <c r="T987" s="86" t="n"/>
      <c r="U987" s="86" t="n"/>
      <c r="V987" s="86" t="n"/>
    </row>
    <row r="988" ht="13.5" customHeight="1" s="108">
      <c r="A988" s="86" t="n"/>
      <c r="B988" s="86" t="n"/>
      <c r="C988" s="86" t="n"/>
      <c r="D988" s="86" t="n"/>
      <c r="E988" s="86" t="n"/>
      <c r="F988" s="86" t="n"/>
      <c r="G988" s="86" t="n"/>
      <c r="H988" s="86" t="n"/>
      <c r="I988" s="86" t="n"/>
      <c r="J988" s="86" t="n"/>
      <c r="K988" s="86" t="n"/>
      <c r="L988" s="86" t="n"/>
      <c r="M988" s="86" t="n"/>
      <c r="N988" s="86" t="n"/>
      <c r="O988" s="86" t="n"/>
      <c r="P988" s="86" t="n"/>
      <c r="Q988" s="86" t="n"/>
      <c r="R988" s="86" t="n"/>
      <c r="S988" s="86" t="n"/>
      <c r="T988" s="86" t="n"/>
      <c r="U988" s="86" t="n"/>
      <c r="V988" s="86" t="n"/>
    </row>
    <row r="989" ht="13.5" customHeight="1" s="108">
      <c r="A989" s="86" t="n"/>
      <c r="B989" s="86" t="n"/>
      <c r="C989" s="86" t="n"/>
      <c r="D989" s="86" t="n"/>
      <c r="E989" s="86" t="n"/>
      <c r="F989" s="86" t="n"/>
      <c r="G989" s="86" t="n"/>
      <c r="H989" s="86" t="n"/>
      <c r="I989" s="86" t="n"/>
      <c r="J989" s="86" t="n"/>
      <c r="K989" s="86" t="n"/>
      <c r="L989" s="86" t="n"/>
      <c r="M989" s="86" t="n"/>
      <c r="N989" s="86" t="n"/>
      <c r="O989" s="86" t="n"/>
      <c r="P989" s="86" t="n"/>
      <c r="Q989" s="86" t="n"/>
      <c r="R989" s="86" t="n"/>
      <c r="S989" s="86" t="n"/>
      <c r="T989" s="86" t="n"/>
      <c r="U989" s="86" t="n"/>
      <c r="V989" s="86" t="n"/>
    </row>
    <row r="990" ht="13.5" customHeight="1" s="108">
      <c r="A990" s="86" t="n"/>
      <c r="B990" s="86" t="n"/>
      <c r="C990" s="86" t="n"/>
      <c r="D990" s="86" t="n"/>
      <c r="E990" s="86" t="n"/>
      <c r="F990" s="86" t="n"/>
      <c r="G990" s="86" t="n"/>
      <c r="H990" s="86" t="n"/>
      <c r="I990" s="86" t="n"/>
      <c r="J990" s="86" t="n"/>
      <c r="K990" s="86" t="n"/>
      <c r="L990" s="86" t="n"/>
      <c r="M990" s="86" t="n"/>
      <c r="N990" s="86" t="n"/>
      <c r="O990" s="86" t="n"/>
      <c r="P990" s="86" t="n"/>
      <c r="Q990" s="86" t="n"/>
      <c r="R990" s="86" t="n"/>
      <c r="S990" s="86" t="n"/>
      <c r="T990" s="86" t="n"/>
      <c r="U990" s="86" t="n"/>
      <c r="V990" s="86" t="n"/>
    </row>
    <row r="991" ht="13.5" customHeight="1" s="108">
      <c r="A991" s="86" t="n"/>
      <c r="B991" s="86" t="n"/>
      <c r="C991" s="86" t="n"/>
      <c r="D991" s="86" t="n"/>
      <c r="E991" s="86" t="n"/>
      <c r="F991" s="86" t="n"/>
      <c r="G991" s="86" t="n"/>
      <c r="H991" s="86" t="n"/>
      <c r="I991" s="86" t="n"/>
      <c r="J991" s="86" t="n"/>
      <c r="K991" s="86" t="n"/>
      <c r="L991" s="86" t="n"/>
      <c r="M991" s="86" t="n"/>
      <c r="N991" s="86" t="n"/>
      <c r="O991" s="86" t="n"/>
      <c r="P991" s="86" t="n"/>
      <c r="Q991" s="86" t="n"/>
      <c r="R991" s="86" t="n"/>
      <c r="S991" s="86" t="n"/>
      <c r="T991" s="86" t="n"/>
      <c r="U991" s="86" t="n"/>
      <c r="V991" s="86" t="n"/>
    </row>
    <row r="992" ht="13.5" customHeight="1" s="108">
      <c r="A992" s="86" t="n"/>
      <c r="B992" s="86" t="n"/>
      <c r="C992" s="86" t="n"/>
      <c r="D992" s="86" t="n"/>
      <c r="E992" s="86" t="n"/>
      <c r="F992" s="86" t="n"/>
      <c r="G992" s="86" t="n"/>
      <c r="H992" s="86" t="n"/>
      <c r="I992" s="86" t="n"/>
      <c r="J992" s="86" t="n"/>
      <c r="K992" s="86" t="n"/>
      <c r="L992" s="86" t="n"/>
      <c r="M992" s="86" t="n"/>
      <c r="N992" s="86" t="n"/>
      <c r="O992" s="86" t="n"/>
      <c r="P992" s="86" t="n"/>
      <c r="Q992" s="86" t="n"/>
      <c r="R992" s="86" t="n"/>
      <c r="S992" s="86" t="n"/>
      <c r="T992" s="86" t="n"/>
      <c r="U992" s="86" t="n"/>
      <c r="V992" s="86" t="n"/>
    </row>
    <row r="993" ht="13.5" customHeight="1" s="108">
      <c r="A993" s="86" t="n"/>
      <c r="B993" s="86" t="n"/>
      <c r="C993" s="86" t="n"/>
      <c r="D993" s="86" t="n"/>
      <c r="E993" s="86" t="n"/>
      <c r="F993" s="86" t="n"/>
      <c r="G993" s="86" t="n"/>
      <c r="H993" s="86" t="n"/>
      <c r="I993" s="86" t="n"/>
      <c r="J993" s="86" t="n"/>
      <c r="K993" s="86" t="n"/>
      <c r="L993" s="86" t="n"/>
      <c r="M993" s="86" t="n"/>
      <c r="N993" s="86" t="n"/>
      <c r="O993" s="86" t="n"/>
      <c r="P993" s="86" t="n"/>
      <c r="Q993" s="86" t="n"/>
      <c r="R993" s="86" t="n"/>
      <c r="S993" s="86" t="n"/>
      <c r="T993" s="86" t="n"/>
      <c r="U993" s="86" t="n"/>
      <c r="V993" s="86" t="n"/>
    </row>
    <row r="994" ht="13.5" customHeight="1" s="108">
      <c r="A994" s="86" t="n"/>
      <c r="B994" s="86" t="n"/>
      <c r="C994" s="86" t="n"/>
      <c r="D994" s="86" t="n"/>
      <c r="E994" s="86" t="n"/>
      <c r="F994" s="86" t="n"/>
      <c r="G994" s="86" t="n"/>
      <c r="H994" s="86" t="n"/>
      <c r="I994" s="86" t="n"/>
      <c r="J994" s="86" t="n"/>
      <c r="K994" s="86" t="n"/>
      <c r="L994" s="86" t="n"/>
      <c r="M994" s="86" t="n"/>
      <c r="N994" s="86" t="n"/>
      <c r="O994" s="86" t="n"/>
      <c r="P994" s="86" t="n"/>
      <c r="Q994" s="86" t="n"/>
      <c r="R994" s="86" t="n"/>
      <c r="S994" s="86" t="n"/>
      <c r="T994" s="86" t="n"/>
      <c r="U994" s="86" t="n"/>
      <c r="V994" s="86" t="n"/>
    </row>
    <row r="995" ht="13.5" customHeight="1" s="108">
      <c r="A995" s="86" t="n"/>
      <c r="B995" s="86" t="n"/>
      <c r="C995" s="86" t="n"/>
      <c r="D995" s="86" t="n"/>
      <c r="E995" s="86" t="n"/>
      <c r="F995" s="86" t="n"/>
      <c r="G995" s="86" t="n"/>
      <c r="H995" s="86" t="n"/>
      <c r="I995" s="86" t="n"/>
      <c r="J995" s="86" t="n"/>
      <c r="K995" s="86" t="n"/>
      <c r="L995" s="86" t="n"/>
      <c r="M995" s="86" t="n"/>
      <c r="N995" s="86" t="n"/>
      <c r="O995" s="86" t="n"/>
      <c r="P995" s="86" t="n"/>
      <c r="Q995" s="86" t="n"/>
      <c r="R995" s="86" t="n"/>
      <c r="S995" s="86" t="n"/>
      <c r="T995" s="86" t="n"/>
      <c r="U995" s="86" t="n"/>
      <c r="V995" s="86" t="n"/>
    </row>
    <row r="996" ht="13.5" customHeight="1" s="108">
      <c r="A996" s="86" t="n"/>
      <c r="B996" s="86" t="n"/>
      <c r="C996" s="86" t="n"/>
      <c r="D996" s="86" t="n"/>
      <c r="E996" s="86" t="n"/>
      <c r="F996" s="86" t="n"/>
      <c r="G996" s="86" t="n"/>
      <c r="H996" s="86" t="n"/>
      <c r="I996" s="86" t="n"/>
      <c r="J996" s="86" t="n"/>
      <c r="K996" s="86" t="n"/>
      <c r="L996" s="86" t="n"/>
      <c r="M996" s="86" t="n"/>
      <c r="N996" s="86" t="n"/>
      <c r="O996" s="86" t="n"/>
      <c r="P996" s="86" t="n"/>
      <c r="Q996" s="86" t="n"/>
      <c r="R996" s="86" t="n"/>
      <c r="S996" s="86" t="n"/>
      <c r="T996" s="86" t="n"/>
      <c r="U996" s="86" t="n"/>
      <c r="V996" s="86" t="n"/>
    </row>
    <row r="997" ht="13.5" customHeight="1" s="108">
      <c r="A997" s="86" t="n"/>
      <c r="B997" s="86" t="n"/>
      <c r="C997" s="86" t="n"/>
      <c r="D997" s="86" t="n"/>
      <c r="E997" s="86" t="n"/>
      <c r="F997" s="86" t="n"/>
      <c r="G997" s="86" t="n"/>
      <c r="H997" s="86" t="n"/>
      <c r="I997" s="86" t="n"/>
      <c r="J997" s="86" t="n"/>
      <c r="K997" s="86" t="n"/>
      <c r="L997" s="86" t="n"/>
      <c r="M997" s="86" t="n"/>
      <c r="N997" s="86" t="n"/>
      <c r="O997" s="86" t="n"/>
      <c r="P997" s="86" t="n"/>
      <c r="Q997" s="86" t="n"/>
      <c r="R997" s="86" t="n"/>
      <c r="S997" s="86" t="n"/>
      <c r="T997" s="86" t="n"/>
      <c r="U997" s="86" t="n"/>
      <c r="V997" s="86" t="n"/>
    </row>
    <row r="998" ht="13.5" customHeight="1" s="108">
      <c r="A998" s="86" t="n"/>
      <c r="B998" s="86" t="n"/>
      <c r="C998" s="86" t="n"/>
      <c r="D998" s="86" t="n"/>
      <c r="E998" s="86" t="n"/>
      <c r="F998" s="86" t="n"/>
      <c r="G998" s="86" t="n"/>
      <c r="H998" s="86" t="n"/>
      <c r="I998" s="86" t="n"/>
      <c r="J998" s="86" t="n"/>
      <c r="K998" s="86" t="n"/>
      <c r="L998" s="86" t="n"/>
      <c r="M998" s="86" t="n"/>
      <c r="N998" s="86" t="n"/>
      <c r="O998" s="86" t="n"/>
      <c r="P998" s="86" t="n"/>
      <c r="Q998" s="86" t="n"/>
      <c r="R998" s="86" t="n"/>
      <c r="S998" s="86" t="n"/>
      <c r="T998" s="86" t="n"/>
      <c r="U998" s="86" t="n"/>
      <c r="V998" s="86" t="n"/>
    </row>
    <row r="999" ht="13.5" customHeight="1" s="108">
      <c r="A999" s="86" t="n"/>
      <c r="B999" s="86" t="n"/>
      <c r="C999" s="86" t="n"/>
      <c r="D999" s="86" t="n"/>
      <c r="E999" s="86" t="n"/>
      <c r="F999" s="86" t="n"/>
      <c r="G999" s="86" t="n"/>
      <c r="H999" s="86" t="n"/>
      <c r="I999" s="86" t="n"/>
      <c r="J999" s="86" t="n"/>
      <c r="K999" s="86" t="n"/>
      <c r="L999" s="86" t="n"/>
      <c r="M999" s="86" t="n"/>
      <c r="N999" s="86" t="n"/>
      <c r="O999" s="86" t="n"/>
      <c r="P999" s="86" t="n"/>
      <c r="Q999" s="86" t="n"/>
      <c r="R999" s="86" t="n"/>
      <c r="S999" s="86" t="n"/>
      <c r="T999" s="86" t="n"/>
      <c r="U999" s="86" t="n"/>
      <c r="V999" s="86" t="n"/>
    </row>
    <row r="1000" ht="13.5" customHeight="1" s="108">
      <c r="A1000" s="86" t="n"/>
      <c r="B1000" s="86" t="n"/>
      <c r="C1000" s="86" t="n"/>
      <c r="D1000" s="86" t="n"/>
      <c r="E1000" s="86" t="n"/>
      <c r="F1000" s="86" t="n"/>
      <c r="G1000" s="86" t="n"/>
      <c r="H1000" s="86" t="n"/>
      <c r="I1000" s="86" t="n"/>
      <c r="J1000" s="86" t="n"/>
      <c r="K1000" s="86" t="n"/>
      <c r="L1000" s="86" t="n"/>
      <c r="M1000" s="86" t="n"/>
      <c r="N1000" s="86" t="n"/>
      <c r="O1000" s="86" t="n"/>
      <c r="P1000" s="86" t="n"/>
      <c r="Q1000" s="86" t="n"/>
      <c r="R1000" s="86" t="n"/>
      <c r="S1000" s="86" t="n"/>
      <c r="T1000" s="86" t="n"/>
      <c r="U1000" s="86" t="n"/>
      <c r="V1000" s="86" t="n"/>
    </row>
    <row r="1001" ht="13.5" customHeight="1" s="108">
      <c r="A1001" s="86" t="n"/>
      <c r="B1001" s="86" t="n"/>
      <c r="C1001" s="86" t="n"/>
      <c r="D1001" s="86" t="n"/>
      <c r="E1001" s="86" t="n"/>
      <c r="F1001" s="86" t="n"/>
      <c r="G1001" s="86" t="n"/>
      <c r="H1001" s="86" t="n"/>
      <c r="I1001" s="86" t="n"/>
      <c r="J1001" s="86" t="n"/>
      <c r="K1001" s="86" t="n"/>
      <c r="L1001" s="86" t="n"/>
      <c r="M1001" s="86" t="n"/>
      <c r="N1001" s="86" t="n"/>
      <c r="O1001" s="86" t="n"/>
      <c r="P1001" s="86" t="n"/>
      <c r="Q1001" s="86" t="n"/>
      <c r="R1001" s="86" t="n"/>
      <c r="S1001" s="86" t="n"/>
      <c r="T1001" s="86" t="n"/>
      <c r="U1001" s="86" t="n"/>
      <c r="V1001" s="86" t="n"/>
    </row>
    <row r="1002" ht="13.5" customHeight="1" s="108">
      <c r="A1002" s="86" t="n"/>
      <c r="B1002" s="86" t="n"/>
      <c r="C1002" s="86" t="n"/>
      <c r="D1002" s="86" t="n"/>
      <c r="E1002" s="86" t="n"/>
      <c r="F1002" s="86" t="n"/>
      <c r="G1002" s="86" t="n"/>
      <c r="H1002" s="86" t="n"/>
      <c r="I1002" s="86" t="n"/>
      <c r="J1002" s="86" t="n"/>
      <c r="K1002" s="86" t="n"/>
      <c r="L1002" s="86" t="n"/>
      <c r="M1002" s="86" t="n"/>
      <c r="N1002" s="86" t="n"/>
      <c r="O1002" s="86" t="n"/>
      <c r="P1002" s="86" t="n"/>
      <c r="Q1002" s="86" t="n"/>
      <c r="R1002" s="86" t="n"/>
      <c r="S1002" s="86" t="n"/>
      <c r="T1002" s="86" t="n"/>
      <c r="U1002" s="86" t="n"/>
      <c r="V1002" s="86" t="n"/>
    </row>
    <row r="1003" ht="13.5" customHeight="1" s="108">
      <c r="A1003" s="86" t="n"/>
      <c r="B1003" s="86" t="n"/>
      <c r="C1003" s="86" t="n"/>
      <c r="D1003" s="86" t="n"/>
      <c r="E1003" s="86" t="n"/>
      <c r="F1003" s="86" t="n"/>
      <c r="G1003" s="86" t="n"/>
      <c r="H1003" s="86" t="n"/>
      <c r="I1003" s="86" t="n"/>
      <c r="J1003" s="86" t="n"/>
      <c r="K1003" s="86" t="n"/>
      <c r="L1003" s="86" t="n"/>
      <c r="M1003" s="86" t="n"/>
      <c r="N1003" s="86" t="n"/>
      <c r="O1003" s="86" t="n"/>
      <c r="P1003" s="86" t="n"/>
      <c r="Q1003" s="86" t="n"/>
      <c r="R1003" s="86" t="n"/>
      <c r="S1003" s="86" t="n"/>
      <c r="T1003" s="86" t="n"/>
      <c r="U1003" s="86" t="n"/>
      <c r="V1003" s="86" t="n"/>
    </row>
    <row r="1004" ht="13.5" customHeight="1" s="108">
      <c r="A1004" s="86" t="n"/>
      <c r="B1004" s="86" t="n"/>
      <c r="C1004" s="86" t="n"/>
      <c r="D1004" s="86" t="n"/>
      <c r="E1004" s="86" t="n"/>
      <c r="F1004" s="86" t="n"/>
      <c r="G1004" s="86" t="n"/>
      <c r="H1004" s="86" t="n"/>
      <c r="I1004" s="86" t="n"/>
      <c r="J1004" s="86" t="n"/>
      <c r="K1004" s="86" t="n"/>
      <c r="L1004" s="86" t="n"/>
      <c r="M1004" s="86" t="n"/>
      <c r="N1004" s="86" t="n"/>
      <c r="O1004" s="86" t="n"/>
      <c r="P1004" s="86" t="n"/>
      <c r="Q1004" s="86" t="n"/>
      <c r="R1004" s="86" t="n"/>
      <c r="S1004" s="86" t="n"/>
      <c r="T1004" s="86" t="n"/>
      <c r="U1004" s="86" t="n"/>
      <c r="V1004" s="86" t="n"/>
    </row>
    <row r="1005" ht="13.5" customHeight="1" s="108">
      <c r="A1005" s="86" t="n"/>
      <c r="B1005" s="86" t="n"/>
      <c r="C1005" s="86" t="n"/>
      <c r="D1005" s="86" t="n"/>
      <c r="E1005" s="86" t="n"/>
      <c r="F1005" s="86" t="n"/>
      <c r="G1005" s="86" t="n"/>
      <c r="H1005" s="86" t="n"/>
      <c r="I1005" s="86" t="n"/>
      <c r="J1005" s="86" t="n"/>
      <c r="K1005" s="86" t="n"/>
      <c r="L1005" s="86" t="n"/>
      <c r="M1005" s="86" t="n"/>
      <c r="N1005" s="86" t="n"/>
      <c r="O1005" s="86" t="n"/>
      <c r="P1005" s="86" t="n"/>
      <c r="Q1005" s="86" t="n"/>
      <c r="R1005" s="86" t="n"/>
      <c r="S1005" s="86" t="n"/>
      <c r="T1005" s="86" t="n"/>
      <c r="U1005" s="86" t="n"/>
      <c r="V1005" s="86" t="n"/>
    </row>
    <row r="1006" ht="13.5" customHeight="1" s="108">
      <c r="A1006" s="86" t="n"/>
      <c r="B1006" s="86" t="n"/>
      <c r="C1006" s="86" t="n"/>
      <c r="D1006" s="86" t="n"/>
      <c r="E1006" s="86" t="n"/>
      <c r="F1006" s="86" t="n"/>
      <c r="G1006" s="86" t="n"/>
      <c r="H1006" s="86" t="n"/>
      <c r="I1006" s="86" t="n"/>
      <c r="J1006" s="86" t="n"/>
      <c r="K1006" s="86" t="n"/>
      <c r="L1006" s="86" t="n"/>
      <c r="M1006" s="86" t="n"/>
      <c r="N1006" s="86" t="n"/>
      <c r="O1006" s="86" t="n"/>
      <c r="P1006" s="86" t="n"/>
      <c r="Q1006" s="86" t="n"/>
      <c r="R1006" s="86" t="n"/>
      <c r="S1006" s="86" t="n"/>
      <c r="T1006" s="86" t="n"/>
      <c r="U1006" s="86" t="n"/>
      <c r="V1006" s="86" t="n"/>
    </row>
    <row r="1007" ht="13.5" customHeight="1" s="108">
      <c r="A1007" s="86" t="n"/>
      <c r="B1007" s="86" t="n"/>
      <c r="C1007" s="86" t="n"/>
      <c r="D1007" s="86" t="n"/>
      <c r="E1007" s="86" t="n"/>
      <c r="F1007" s="86" t="n"/>
      <c r="G1007" s="86" t="n"/>
      <c r="H1007" s="86" t="n"/>
      <c r="I1007" s="86" t="n"/>
      <c r="J1007" s="86" t="n"/>
      <c r="K1007" s="86" t="n"/>
      <c r="L1007" s="86" t="n"/>
      <c r="M1007" s="86" t="n"/>
      <c r="N1007" s="86" t="n"/>
      <c r="O1007" s="86" t="n"/>
      <c r="P1007" s="86" t="n"/>
      <c r="Q1007" s="86" t="n"/>
      <c r="R1007" s="86" t="n"/>
      <c r="S1007" s="86" t="n"/>
      <c r="T1007" s="86" t="n"/>
      <c r="U1007" s="86" t="n"/>
      <c r="V1007" s="86" t="n"/>
    </row>
    <row r="1008" ht="13.5" customHeight="1" s="108">
      <c r="A1008" s="86" t="n"/>
      <c r="B1008" s="86" t="n"/>
      <c r="C1008" s="86" t="n"/>
      <c r="D1008" s="86" t="n"/>
      <c r="E1008" s="86" t="n"/>
      <c r="F1008" s="86" t="n"/>
      <c r="G1008" s="86" t="n"/>
      <c r="H1008" s="86" t="n"/>
      <c r="I1008" s="86" t="n"/>
      <c r="J1008" s="86" t="n"/>
      <c r="K1008" s="86" t="n"/>
      <c r="L1008" s="86" t="n"/>
      <c r="M1008" s="86" t="n"/>
      <c r="N1008" s="86" t="n"/>
      <c r="O1008" s="86" t="n"/>
      <c r="P1008" s="86" t="n"/>
      <c r="Q1008" s="86" t="n"/>
      <c r="R1008" s="86" t="n"/>
      <c r="S1008" s="86" t="n"/>
      <c r="T1008" s="86" t="n"/>
      <c r="U1008" s="86" t="n"/>
      <c r="V1008" s="86" t="n"/>
    </row>
    <row r="1009" ht="13.5" customHeight="1" s="108">
      <c r="A1009" s="86" t="n"/>
      <c r="B1009" s="86" t="n"/>
      <c r="C1009" s="86" t="n"/>
      <c r="D1009" s="86" t="n"/>
      <c r="E1009" s="86" t="n"/>
      <c r="F1009" s="86" t="n"/>
      <c r="G1009" s="86" t="n"/>
      <c r="H1009" s="86" t="n"/>
      <c r="I1009" s="86" t="n"/>
      <c r="J1009" s="86" t="n"/>
      <c r="K1009" s="86" t="n"/>
      <c r="L1009" s="86" t="n"/>
      <c r="M1009" s="86" t="n"/>
      <c r="N1009" s="86" t="n"/>
      <c r="O1009" s="86" t="n"/>
      <c r="P1009" s="86" t="n"/>
      <c r="Q1009" s="86" t="n"/>
      <c r="R1009" s="86" t="n"/>
      <c r="S1009" s="86" t="n"/>
      <c r="T1009" s="86" t="n"/>
      <c r="U1009" s="86" t="n"/>
      <c r="V1009" s="86" t="n"/>
    </row>
    <row r="1010" ht="13.5" customHeight="1" s="108">
      <c r="A1010" s="86" t="n"/>
      <c r="B1010" s="86" t="n"/>
      <c r="C1010" s="86" t="n"/>
      <c r="D1010" s="86" t="n"/>
      <c r="E1010" s="86" t="n"/>
      <c r="F1010" s="86" t="n"/>
      <c r="G1010" s="86" t="n"/>
      <c r="H1010" s="86" t="n"/>
      <c r="I1010" s="86" t="n"/>
      <c r="J1010" s="86" t="n"/>
      <c r="K1010" s="86" t="n"/>
      <c r="L1010" s="86" t="n"/>
      <c r="M1010" s="86" t="n"/>
      <c r="N1010" s="86" t="n"/>
      <c r="O1010" s="86" t="n"/>
      <c r="P1010" s="86" t="n"/>
      <c r="Q1010" s="86" t="n"/>
      <c r="R1010" s="86" t="n"/>
      <c r="S1010" s="86" t="n"/>
      <c r="T1010" s="86" t="n"/>
      <c r="U1010" s="86" t="n"/>
      <c r="V1010" s="86" t="n"/>
    </row>
    <row r="1011" ht="13.5" customHeight="1" s="108">
      <c r="A1011" s="86" t="n"/>
      <c r="B1011" s="86" t="n"/>
      <c r="C1011" s="86" t="n"/>
      <c r="D1011" s="86" t="n"/>
      <c r="E1011" s="86" t="n"/>
      <c r="F1011" s="86" t="n"/>
      <c r="G1011" s="86" t="n"/>
      <c r="H1011" s="86" t="n"/>
      <c r="I1011" s="86" t="n"/>
      <c r="J1011" s="86" t="n"/>
      <c r="K1011" s="86" t="n"/>
      <c r="L1011" s="86" t="n"/>
      <c r="M1011" s="86" t="n"/>
      <c r="N1011" s="86" t="n"/>
      <c r="O1011" s="86" t="n"/>
      <c r="P1011" s="86" t="n"/>
      <c r="Q1011" s="86" t="n"/>
      <c r="R1011" s="86" t="n"/>
      <c r="S1011" s="86" t="n"/>
      <c r="T1011" s="86" t="n"/>
      <c r="U1011" s="86" t="n"/>
      <c r="V1011" s="86" t="n"/>
    </row>
    <row r="1012" ht="13.5" customHeight="1" s="108">
      <c r="A1012" s="86" t="n"/>
      <c r="B1012" s="86" t="n"/>
      <c r="C1012" s="86" t="n"/>
      <c r="D1012" s="86" t="n"/>
      <c r="E1012" s="86" t="n"/>
      <c r="F1012" s="86" t="n"/>
      <c r="G1012" s="86" t="n"/>
      <c r="H1012" s="86" t="n"/>
      <c r="I1012" s="86" t="n"/>
      <c r="J1012" s="86" t="n"/>
      <c r="K1012" s="86" t="n"/>
      <c r="L1012" s="86" t="n"/>
      <c r="M1012" s="86" t="n"/>
      <c r="N1012" s="86" t="n"/>
      <c r="O1012" s="86" t="n"/>
      <c r="P1012" s="86" t="n"/>
      <c r="Q1012" s="86" t="n"/>
      <c r="R1012" s="86" t="n"/>
      <c r="S1012" s="86" t="n"/>
      <c r="T1012" s="86" t="n"/>
      <c r="U1012" s="86" t="n"/>
      <c r="V1012" s="86" t="n"/>
    </row>
    <row r="1013" ht="13.5" customHeight="1" s="108">
      <c r="A1013" s="86" t="n"/>
      <c r="B1013" s="86" t="n"/>
      <c r="C1013" s="86" t="n"/>
      <c r="D1013" s="86" t="n"/>
      <c r="E1013" s="86" t="n"/>
      <c r="F1013" s="86" t="n"/>
      <c r="G1013" s="86" t="n"/>
      <c r="H1013" s="86" t="n"/>
      <c r="I1013" s="86" t="n"/>
      <c r="J1013" s="86" t="n"/>
      <c r="K1013" s="86" t="n"/>
      <c r="L1013" s="86" t="n"/>
      <c r="M1013" s="86" t="n"/>
      <c r="N1013" s="86" t="n"/>
      <c r="O1013" s="86" t="n"/>
      <c r="P1013" s="86" t="n"/>
      <c r="Q1013" s="86" t="n"/>
      <c r="R1013" s="86" t="n"/>
      <c r="S1013" s="86" t="n"/>
      <c r="T1013" s="86" t="n"/>
      <c r="U1013" s="86" t="n"/>
      <c r="V1013" s="86" t="n"/>
    </row>
    <row r="1014" ht="13.5" customHeight="1" s="108">
      <c r="A1014" s="86" t="n"/>
      <c r="B1014" s="86" t="n"/>
      <c r="C1014" s="86" t="n"/>
      <c r="D1014" s="86" t="n"/>
      <c r="E1014" s="86" t="n"/>
      <c r="F1014" s="86" t="n"/>
      <c r="G1014" s="86" t="n"/>
      <c r="H1014" s="86" t="n"/>
      <c r="I1014" s="86" t="n"/>
      <c r="J1014" s="86" t="n"/>
      <c r="K1014" s="86" t="n"/>
      <c r="L1014" s="86" t="n"/>
      <c r="M1014" s="86" t="n"/>
      <c r="N1014" s="86" t="n"/>
      <c r="O1014" s="86" t="n"/>
      <c r="P1014" s="86" t="n"/>
      <c r="Q1014" s="86" t="n"/>
      <c r="R1014" s="86" t="n"/>
      <c r="S1014" s="86" t="n"/>
      <c r="T1014" s="86" t="n"/>
      <c r="U1014" s="86" t="n"/>
      <c r="V1014" s="86" t="n"/>
    </row>
    <row r="1015" ht="13.5" customHeight="1" s="108">
      <c r="A1015" s="86" t="n"/>
      <c r="B1015" s="86" t="n"/>
      <c r="C1015" s="86" t="n"/>
      <c r="D1015" s="86" t="n"/>
      <c r="E1015" s="86" t="n"/>
      <c r="F1015" s="86" t="n"/>
      <c r="G1015" s="86" t="n"/>
      <c r="H1015" s="86" t="n"/>
      <c r="I1015" s="86" t="n"/>
      <c r="J1015" s="86" t="n"/>
      <c r="K1015" s="86" t="n"/>
      <c r="L1015" s="86" t="n"/>
      <c r="M1015" s="86" t="n"/>
      <c r="N1015" s="86" t="n"/>
      <c r="O1015" s="86" t="n"/>
      <c r="P1015" s="86" t="n"/>
      <c r="Q1015" s="86" t="n"/>
      <c r="R1015" s="86" t="n"/>
      <c r="S1015" s="86" t="n"/>
      <c r="T1015" s="86" t="n"/>
      <c r="U1015" s="86" t="n"/>
      <c r="V1015" s="86" t="n"/>
    </row>
    <row r="1016" ht="13.5" customHeight="1" s="108">
      <c r="A1016" s="86" t="n"/>
      <c r="B1016" s="86" t="n"/>
      <c r="C1016" s="86" t="n"/>
      <c r="D1016" s="86" t="n"/>
      <c r="E1016" s="86" t="n"/>
      <c r="F1016" s="86" t="n"/>
      <c r="G1016" s="86" t="n"/>
      <c r="H1016" s="86" t="n"/>
      <c r="I1016" s="86" t="n"/>
      <c r="J1016" s="86" t="n"/>
      <c r="K1016" s="86" t="n"/>
      <c r="L1016" s="86" t="n"/>
      <c r="M1016" s="86" t="n"/>
      <c r="N1016" s="86" t="n"/>
      <c r="O1016" s="86" t="n"/>
      <c r="P1016" s="86" t="n"/>
      <c r="Q1016" s="86" t="n"/>
      <c r="R1016" s="86" t="n"/>
      <c r="S1016" s="86" t="n"/>
      <c r="T1016" s="86" t="n"/>
      <c r="U1016" s="86" t="n"/>
      <c r="V1016" s="86" t="n"/>
    </row>
    <row r="1017" ht="13.5" customHeight="1" s="108">
      <c r="A1017" s="86" t="n"/>
      <c r="B1017" s="86" t="n"/>
      <c r="C1017" s="86" t="n"/>
      <c r="D1017" s="86" t="n"/>
      <c r="E1017" s="86" t="n"/>
      <c r="F1017" s="86" t="n"/>
      <c r="G1017" s="86" t="n"/>
      <c r="H1017" s="86" t="n"/>
      <c r="I1017" s="86" t="n"/>
      <c r="J1017" s="86" t="n"/>
      <c r="K1017" s="86" t="n"/>
      <c r="L1017" s="86" t="n"/>
      <c r="M1017" s="86" t="n"/>
      <c r="N1017" s="86" t="n"/>
      <c r="O1017" s="86" t="n"/>
      <c r="P1017" s="86" t="n"/>
      <c r="Q1017" s="86" t="n"/>
      <c r="R1017" s="86" t="n"/>
      <c r="S1017" s="86" t="n"/>
      <c r="T1017" s="86" t="n"/>
      <c r="U1017" s="86" t="n"/>
      <c r="V1017" s="86" t="n"/>
    </row>
    <row r="1018" ht="13.5" customHeight="1" s="108">
      <c r="A1018" s="86" t="n"/>
      <c r="B1018" s="86" t="n"/>
      <c r="C1018" s="86" t="n"/>
      <c r="D1018" s="86" t="n"/>
      <c r="E1018" s="86" t="n"/>
      <c r="F1018" s="86" t="n"/>
      <c r="G1018" s="86" t="n"/>
      <c r="H1018" s="86" t="n"/>
      <c r="I1018" s="86" t="n"/>
      <c r="J1018" s="86" t="n"/>
      <c r="K1018" s="86" t="n"/>
      <c r="L1018" s="86" t="n"/>
      <c r="M1018" s="86" t="n"/>
      <c r="N1018" s="86" t="n"/>
      <c r="O1018" s="86" t="n"/>
      <c r="P1018" s="86" t="n"/>
      <c r="Q1018" s="86" t="n"/>
      <c r="R1018" s="86" t="n"/>
      <c r="S1018" s="86" t="n"/>
      <c r="T1018" s="86" t="n"/>
      <c r="U1018" s="86" t="n"/>
      <c r="V1018" s="86" t="n"/>
    </row>
    <row r="1019" ht="13.5" customHeight="1" s="108">
      <c r="A1019" s="86" t="n"/>
      <c r="B1019" s="86" t="n"/>
      <c r="C1019" s="86" t="n"/>
      <c r="D1019" s="86" t="n"/>
      <c r="E1019" s="86" t="n"/>
      <c r="F1019" s="86" t="n"/>
      <c r="G1019" s="86" t="n"/>
      <c r="H1019" s="86" t="n"/>
      <c r="I1019" s="86" t="n"/>
      <c r="J1019" s="86" t="n"/>
      <c r="K1019" s="86" t="n"/>
      <c r="L1019" s="86" t="n"/>
      <c r="M1019" s="86" t="n"/>
      <c r="N1019" s="86" t="n"/>
      <c r="O1019" s="86" t="n"/>
      <c r="P1019" s="86" t="n"/>
      <c r="Q1019" s="86" t="n"/>
      <c r="R1019" s="86" t="n"/>
      <c r="S1019" s="86" t="n"/>
      <c r="T1019" s="86" t="n"/>
      <c r="U1019" s="86" t="n"/>
      <c r="V1019" s="86" t="n"/>
    </row>
    <row r="1020" ht="13.5" customHeight="1" s="108">
      <c r="A1020" s="86" t="n"/>
      <c r="B1020" s="86" t="n"/>
      <c r="C1020" s="86" t="n"/>
      <c r="D1020" s="86" t="n"/>
      <c r="E1020" s="86" t="n"/>
      <c r="F1020" s="86" t="n"/>
      <c r="G1020" s="86" t="n"/>
      <c r="H1020" s="86" t="n"/>
      <c r="I1020" s="86" t="n"/>
      <c r="J1020" s="86" t="n"/>
      <c r="K1020" s="86" t="n"/>
      <c r="L1020" s="86" t="n"/>
      <c r="M1020" s="86" t="n"/>
      <c r="N1020" s="86" t="n"/>
      <c r="O1020" s="86" t="n"/>
      <c r="P1020" s="86" t="n"/>
      <c r="Q1020" s="86" t="n"/>
      <c r="R1020" s="86" t="n"/>
      <c r="S1020" s="86" t="n"/>
      <c r="T1020" s="86" t="n"/>
      <c r="U1020" s="86" t="n"/>
      <c r="V1020" s="86" t="n"/>
    </row>
    <row r="1021" ht="13.5" customHeight="1" s="108">
      <c r="A1021" s="86" t="n"/>
      <c r="B1021" s="86" t="n"/>
      <c r="C1021" s="86" t="n"/>
      <c r="D1021" s="86" t="n"/>
      <c r="E1021" s="86" t="n"/>
      <c r="F1021" s="86" t="n"/>
      <c r="G1021" s="86" t="n"/>
      <c r="H1021" s="86" t="n"/>
      <c r="I1021" s="86" t="n"/>
      <c r="J1021" s="86" t="n"/>
      <c r="K1021" s="86" t="n"/>
      <c r="L1021" s="86" t="n"/>
      <c r="M1021" s="86" t="n"/>
      <c r="N1021" s="86" t="n"/>
      <c r="O1021" s="86" t="n"/>
      <c r="P1021" s="86" t="n"/>
      <c r="Q1021" s="86" t="n"/>
      <c r="R1021" s="86" t="n"/>
      <c r="S1021" s="86" t="n"/>
      <c r="T1021" s="86" t="n"/>
      <c r="U1021" s="86" t="n"/>
      <c r="V1021" s="86" t="n"/>
    </row>
    <row r="1022" ht="13.5" customHeight="1" s="108">
      <c r="A1022" s="86" t="n"/>
      <c r="B1022" s="86" t="n"/>
      <c r="C1022" s="86" t="n"/>
      <c r="D1022" s="86" t="n"/>
      <c r="E1022" s="86" t="n"/>
      <c r="F1022" s="86" t="n"/>
      <c r="G1022" s="86" t="n"/>
      <c r="H1022" s="86" t="n"/>
      <c r="I1022" s="86" t="n"/>
      <c r="J1022" s="86" t="n"/>
      <c r="K1022" s="86" t="n"/>
      <c r="L1022" s="86" t="n"/>
      <c r="M1022" s="86" t="n"/>
      <c r="N1022" s="86" t="n"/>
      <c r="O1022" s="86" t="n"/>
      <c r="P1022" s="86" t="n"/>
      <c r="Q1022" s="86" t="n"/>
      <c r="R1022" s="86" t="n"/>
      <c r="S1022" s="86" t="n"/>
      <c r="T1022" s="86" t="n"/>
      <c r="U1022" s="86" t="n"/>
      <c r="V1022" s="86" t="n"/>
    </row>
    <row r="1023" ht="13.5" customHeight="1" s="108">
      <c r="A1023" s="86" t="n"/>
      <c r="B1023" s="86" t="n"/>
      <c r="C1023" s="86" t="n"/>
      <c r="D1023" s="86" t="n"/>
      <c r="E1023" s="86" t="n"/>
      <c r="F1023" s="86" t="n"/>
      <c r="G1023" s="86" t="n"/>
      <c r="H1023" s="86" t="n"/>
      <c r="I1023" s="86" t="n"/>
      <c r="J1023" s="86" t="n"/>
      <c r="K1023" s="86" t="n"/>
      <c r="L1023" s="86" t="n"/>
      <c r="M1023" s="86" t="n"/>
      <c r="N1023" s="86" t="n"/>
      <c r="O1023" s="86" t="n"/>
      <c r="P1023" s="86" t="n"/>
      <c r="Q1023" s="86" t="n"/>
      <c r="R1023" s="86" t="n"/>
      <c r="S1023" s="86" t="n"/>
      <c r="T1023" s="86" t="n"/>
      <c r="U1023" s="86" t="n"/>
      <c r="V1023" s="86" t="n"/>
    </row>
  </sheetData>
  <autoFilter ref="$D$6:$L$6"/>
  <mergeCells count="20">
    <mergeCell ref="D4:J4"/>
    <mergeCell ref="D3:J3"/>
    <mergeCell ref="L38:L44"/>
    <mergeCell ref="M1:M4"/>
    <mergeCell ref="F38:F44"/>
    <mergeCell ref="B34:B53"/>
    <mergeCell ref="I38:I44"/>
    <mergeCell ref="K38:K44"/>
    <mergeCell ref="C38:C44"/>
    <mergeCell ref="B54:B91"/>
    <mergeCell ref="D1:J1"/>
    <mergeCell ref="D38:D44"/>
    <mergeCell ref="B7:B33"/>
    <mergeCell ref="D2:J2"/>
    <mergeCell ref="B92:L92"/>
    <mergeCell ref="H38:H44"/>
    <mergeCell ref="J38:J44"/>
    <mergeCell ref="B5:L5"/>
    <mergeCell ref="E38:E44"/>
    <mergeCell ref="G38:G44"/>
  </mergeCells>
  <conditionalFormatting sqref="K7:K91">
    <cfRule type="expression" priority="1" dxfId="0">
      <formula>#REF!&gt;1</formula>
    </cfRule>
    <cfRule type="expression" priority="2" dxfId="1" stopIfTrue="1">
      <formula>#REF!&gt;1</formula>
    </cfRule>
    <cfRule type="expression" priority="3" dxfId="2">
      <formula>IF(#REF!="",#REF!,#REF!)&lt;TODAY()</formula>
    </cfRule>
    <cfRule type="expression" priority="4" dxfId="3" stopIfTrue="1">
      <formula>#REF!&gt;=TODAY()</formula>
    </cfRule>
  </conditionalFormatting>
  <dataValidations count="2">
    <dataValidation sqref="F7:F38 F45:F91" showDropDown="0" showInputMessage="0" showErrorMessage="1" allowBlank="1" type="list">
      <formula1>"Comissão de Acompanhamento Discente,Comissão de Acompanhamento de Egressos,Comissão de Visibilidade,Comissão de Credenciamento e Acompanhamento Docente,Comissão de Monitoramento do Planejamento Estratégico,Comissão Transitória APCN,Coordenação do MPEA,Com"&amp;"issão de editais"</formula1>
    </dataValidation>
    <dataValidation sqref="K7:K38 K45:K91" showDropDown="0" showInputMessage="0" showErrorMessage="1" allowBlank="1" type="list">
      <formula1>"PENDENTE,EM ANDAMENTO,CONCLUÍDO"</formula1>
    </dataValidation>
  </dataValidations>
  <pageMargins left="0.5118110236220472" right="0.5118110236220472" top="0.5118110236220472" bottom="0.5118110236220472" header="0" footer="0"/>
  <pageSetup orientation="landscape" paperSize="9" scale="4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997"/>
  <sheetViews>
    <sheetView workbookViewId="0">
      <selection activeCell="A1" sqref="A1"/>
    </sheetView>
  </sheetViews>
  <sheetFormatPr baseColWidth="8" defaultColWidth="14.43" defaultRowHeight="15" customHeight="1"/>
  <cols>
    <col width="5.86" customWidth="1" style="108" min="1" max="1"/>
    <col width="41.14" customWidth="1" style="108" min="3" max="3"/>
    <col width="15.71" customWidth="1" style="108" min="4" max="4"/>
  </cols>
  <sheetData>
    <row r="1">
      <c r="A1" s="92" t="inlineStr">
        <is>
          <t>N</t>
        </is>
      </c>
      <c r="B1" s="92" t="inlineStr">
        <is>
          <t>Horário</t>
        </is>
      </c>
      <c r="C1" s="93" t="inlineStr">
        <is>
          <t>Atividade</t>
        </is>
      </c>
      <c r="D1" s="91" t="inlineStr">
        <is>
          <t>Local</t>
        </is>
      </c>
    </row>
    <row r="2">
      <c r="A2" s="92" t="n">
        <v>1</v>
      </c>
      <c r="B2" s="92" t="inlineStr">
        <is>
          <t>13:00 - 13:20</t>
        </is>
      </c>
      <c r="C2" s="93" t="inlineStr">
        <is>
          <t>Dinâmica de integração da equipe</t>
        </is>
      </c>
      <c r="D2" s="91" t="inlineStr">
        <is>
          <t>Sala principal</t>
        </is>
      </c>
    </row>
    <row r="3">
      <c r="A3" s="92" t="n">
        <v>2</v>
      </c>
      <c r="B3" s="92" t="inlineStr">
        <is>
          <t>13:20 - 13:40</t>
        </is>
      </c>
      <c r="C3" s="93" t="inlineStr">
        <is>
          <t>Apresentação da comissão de planejamento estratégico</t>
        </is>
      </c>
      <c r="D3" s="91" t="inlineStr">
        <is>
          <t>Sala principal</t>
        </is>
      </c>
    </row>
    <row r="4">
      <c r="A4" s="92" t="n">
        <v>3</v>
      </c>
      <c r="B4" s="92" t="inlineStr">
        <is>
          <t>13:40 - 14:00</t>
        </is>
      </c>
      <c r="C4" s="93" t="inlineStr">
        <is>
          <t>Apresentação das competências de cada comissão</t>
        </is>
      </c>
      <c r="D4" s="91" t="inlineStr">
        <is>
          <t>Sala principal</t>
        </is>
      </c>
    </row>
    <row r="5">
      <c r="A5" s="92" t="n">
        <v>4</v>
      </c>
      <c r="B5" s="92" t="inlineStr">
        <is>
          <t>14:00 - 15:00</t>
        </is>
      </c>
      <c r="C5" s="93" t="inlineStr">
        <is>
          <t>Revisão e atualização das ações do planejamento por cada comissão: 07 grupos de trabalho</t>
        </is>
      </c>
      <c r="D5" s="91" t="inlineStr">
        <is>
          <t>Salas de trabalho</t>
        </is>
      </c>
    </row>
    <row r="6">
      <c r="A6" s="92" t="n">
        <v>5</v>
      </c>
      <c r="B6" s="92" t="inlineStr">
        <is>
          <t>15:00 - 15:10</t>
        </is>
      </c>
      <c r="C6" s="93" t="inlineStr">
        <is>
          <t>Intervalo</t>
        </is>
      </c>
      <c r="D6" s="91" t="inlineStr">
        <is>
          <t>Sala principal</t>
        </is>
      </c>
    </row>
    <row r="7">
      <c r="A7" s="92" t="n">
        <v>6</v>
      </c>
      <c r="B7" s="92" t="inlineStr">
        <is>
          <t>15:10 - 16:30</t>
        </is>
      </c>
      <c r="C7" s="93" t="inlineStr">
        <is>
          <t>Apresentação dos resultados de cada comissão</t>
        </is>
      </c>
      <c r="D7" s="91" t="inlineStr">
        <is>
          <t>Sala principal</t>
        </is>
      </c>
    </row>
    <row r="8">
      <c r="A8" s="92" t="n">
        <v>7</v>
      </c>
      <c r="B8" s="92" t="inlineStr">
        <is>
          <t>16:00 - 17:00</t>
        </is>
      </c>
      <c r="C8" s="93" t="inlineStr">
        <is>
          <t>Fechamento (questionário de feedback)</t>
        </is>
      </c>
      <c r="D8" s="91" t="inlineStr">
        <is>
          <t>Sala principal</t>
        </is>
      </c>
    </row>
    <row r="9">
      <c r="A9" s="92" t="n"/>
      <c r="B9" s="92" t="n"/>
      <c r="C9" s="93" t="n"/>
    </row>
    <row r="10">
      <c r="A10" s="92" t="n"/>
      <c r="B10" s="92" t="n"/>
      <c r="C10" s="93" t="n"/>
    </row>
    <row r="11">
      <c r="A11" s="92" t="n"/>
      <c r="B11" s="92" t="n"/>
      <c r="C11" s="93" t="n"/>
    </row>
    <row r="12">
      <c r="A12" s="92" t="n"/>
      <c r="B12" s="92" t="n"/>
      <c r="C12" s="93" t="n"/>
    </row>
    <row r="13">
      <c r="A13" s="92" t="n"/>
      <c r="B13" s="92" t="n"/>
      <c r="C13" s="93" t="n"/>
    </row>
    <row r="14">
      <c r="A14" s="92" t="n"/>
      <c r="B14" s="92" t="n"/>
      <c r="C14" s="93" t="n"/>
    </row>
    <row r="15">
      <c r="A15" s="92" t="n"/>
      <c r="B15" s="92" t="n"/>
      <c r="C15" s="93" t="n"/>
    </row>
    <row r="16">
      <c r="A16" s="92" t="n"/>
      <c r="B16" s="92" t="n"/>
      <c r="C16" s="93" t="n"/>
    </row>
    <row r="17">
      <c r="A17" s="92" t="n"/>
      <c r="B17" s="92" t="n"/>
      <c r="C17" s="93" t="n"/>
    </row>
    <row r="18">
      <c r="A18" s="92" t="n"/>
      <c r="B18" s="92" t="n"/>
      <c r="C18" s="93" t="n"/>
    </row>
    <row r="19">
      <c r="A19" s="92" t="n"/>
      <c r="B19" s="92" t="n"/>
      <c r="C19" s="93" t="n"/>
    </row>
    <row r="20">
      <c r="A20" s="92" t="n"/>
      <c r="B20" s="92" t="n"/>
      <c r="C20" s="93" t="n"/>
    </row>
    <row r="21">
      <c r="A21" s="92" t="n"/>
      <c r="B21" s="92" t="n"/>
      <c r="C21" s="93" t="n"/>
    </row>
    <row r="22">
      <c r="A22" s="92" t="n"/>
      <c r="B22" s="92" t="n"/>
      <c r="C22" s="93" t="n"/>
    </row>
    <row r="23">
      <c r="A23" s="92" t="n"/>
      <c r="B23" s="92" t="n"/>
      <c r="C23" s="93" t="n"/>
    </row>
    <row r="24">
      <c r="A24" s="92" t="n"/>
      <c r="B24" s="92" t="n"/>
      <c r="C24" s="93" t="n"/>
    </row>
    <row r="25">
      <c r="A25" s="92" t="n"/>
      <c r="B25" s="92" t="n"/>
      <c r="C25" s="93" t="n"/>
    </row>
    <row r="26">
      <c r="A26" s="92" t="n"/>
      <c r="B26" s="92" t="n"/>
      <c r="C26" s="93" t="n"/>
    </row>
    <row r="27">
      <c r="A27" s="92" t="n"/>
      <c r="B27" s="92" t="n"/>
      <c r="C27" s="93" t="n"/>
    </row>
    <row r="28">
      <c r="A28" s="92" t="n"/>
      <c r="B28" s="92" t="n"/>
      <c r="C28" s="93" t="n"/>
    </row>
    <row r="29">
      <c r="A29" s="92" t="n"/>
      <c r="B29" s="92" t="n"/>
      <c r="C29" s="93" t="n"/>
    </row>
    <row r="30">
      <c r="A30" s="92" t="n"/>
      <c r="B30" s="92" t="n"/>
      <c r="C30" s="93" t="n"/>
    </row>
    <row r="31">
      <c r="A31" s="92" t="n"/>
      <c r="B31" s="92" t="n"/>
      <c r="C31" s="93" t="n"/>
    </row>
    <row r="32">
      <c r="A32" s="92" t="n"/>
      <c r="B32" s="92" t="n"/>
      <c r="C32" s="93" t="n"/>
    </row>
    <row r="33">
      <c r="A33" s="92" t="n"/>
      <c r="B33" s="92" t="n"/>
      <c r="C33" s="93" t="n"/>
    </row>
    <row r="34">
      <c r="A34" s="92" t="n"/>
      <c r="B34" s="92" t="n"/>
      <c r="C34" s="93" t="n"/>
    </row>
    <row r="35">
      <c r="A35" s="92" t="n"/>
      <c r="B35" s="92" t="n"/>
      <c r="C35" s="93" t="n"/>
    </row>
    <row r="36">
      <c r="A36" s="92" t="n"/>
      <c r="B36" s="92" t="n"/>
      <c r="C36" s="93" t="n"/>
    </row>
    <row r="37">
      <c r="A37" s="92" t="n"/>
      <c r="B37" s="92" t="n"/>
      <c r="C37" s="93" t="n"/>
    </row>
    <row r="38">
      <c r="A38" s="92" t="n"/>
      <c r="B38" s="92" t="n"/>
      <c r="C38" s="93" t="n"/>
    </row>
    <row r="39">
      <c r="A39" s="92" t="n"/>
      <c r="B39" s="92" t="n"/>
      <c r="C39" s="93" t="n"/>
    </row>
    <row r="40">
      <c r="A40" s="92" t="n"/>
      <c r="B40" s="92" t="n"/>
      <c r="C40" s="93" t="n"/>
    </row>
    <row r="41">
      <c r="A41" s="92" t="n"/>
      <c r="B41" s="92" t="n"/>
      <c r="C41" s="93" t="n"/>
    </row>
    <row r="42">
      <c r="A42" s="92" t="n"/>
      <c r="B42" s="92" t="n"/>
      <c r="C42" s="93" t="n"/>
    </row>
    <row r="43">
      <c r="A43" s="92" t="n"/>
      <c r="B43" s="92" t="n"/>
      <c r="C43" s="93" t="n"/>
    </row>
    <row r="44">
      <c r="A44" s="92" t="n"/>
      <c r="B44" s="92" t="n"/>
      <c r="C44" s="93" t="n"/>
    </row>
    <row r="45">
      <c r="A45" s="92" t="n"/>
      <c r="B45" s="92" t="n"/>
      <c r="C45" s="93" t="n"/>
    </row>
    <row r="46">
      <c r="A46" s="92" t="n"/>
      <c r="B46" s="92" t="n"/>
      <c r="C46" s="93" t="n"/>
    </row>
    <row r="47">
      <c r="A47" s="92" t="n"/>
      <c r="B47" s="92" t="n"/>
      <c r="C47" s="93" t="n"/>
    </row>
    <row r="48">
      <c r="A48" s="92" t="n"/>
      <c r="B48" s="92" t="n"/>
      <c r="C48" s="93" t="n"/>
    </row>
    <row r="49">
      <c r="A49" s="92" t="n"/>
      <c r="B49" s="92" t="n"/>
      <c r="C49" s="93" t="n"/>
    </row>
    <row r="50">
      <c r="A50" s="92" t="n"/>
      <c r="B50" s="92" t="n"/>
      <c r="C50" s="93" t="n"/>
    </row>
    <row r="51">
      <c r="A51" s="92" t="n"/>
      <c r="B51" s="92" t="n"/>
      <c r="C51" s="93" t="n"/>
    </row>
    <row r="52">
      <c r="A52" s="92" t="n"/>
      <c r="B52" s="92" t="n"/>
      <c r="C52" s="93" t="n"/>
    </row>
    <row r="53">
      <c r="A53" s="92" t="n"/>
      <c r="B53" s="92" t="n"/>
      <c r="C53" s="93" t="n"/>
    </row>
    <row r="54">
      <c r="A54" s="92" t="n"/>
      <c r="B54" s="92" t="n"/>
      <c r="C54" s="93" t="n"/>
    </row>
    <row r="55">
      <c r="A55" s="92" t="n"/>
      <c r="B55" s="92" t="n"/>
      <c r="C55" s="93" t="n"/>
    </row>
    <row r="56">
      <c r="A56" s="92" t="n"/>
      <c r="B56" s="92" t="n"/>
      <c r="C56" s="93" t="n"/>
    </row>
    <row r="57">
      <c r="A57" s="92" t="n"/>
      <c r="B57" s="92" t="n"/>
      <c r="C57" s="93" t="n"/>
    </row>
    <row r="58">
      <c r="A58" s="92" t="n"/>
      <c r="B58" s="92" t="n"/>
      <c r="C58" s="93" t="n"/>
    </row>
    <row r="59">
      <c r="A59" s="92" t="n"/>
      <c r="B59" s="92" t="n"/>
      <c r="C59" s="93" t="n"/>
    </row>
    <row r="60">
      <c r="A60" s="92" t="n"/>
      <c r="B60" s="92" t="n"/>
      <c r="C60" s="93" t="n"/>
    </row>
    <row r="61">
      <c r="A61" s="92" t="n"/>
      <c r="B61" s="92" t="n"/>
      <c r="C61" s="93" t="n"/>
    </row>
    <row r="62">
      <c r="A62" s="92" t="n"/>
      <c r="B62" s="92" t="n"/>
      <c r="C62" s="93" t="n"/>
    </row>
    <row r="63">
      <c r="A63" s="92" t="n"/>
      <c r="B63" s="92" t="n"/>
      <c r="C63" s="93" t="n"/>
    </row>
    <row r="64">
      <c r="A64" s="92" t="n"/>
      <c r="B64" s="92" t="n"/>
      <c r="C64" s="93" t="n"/>
    </row>
    <row r="65">
      <c r="A65" s="92" t="n"/>
      <c r="B65" s="92" t="n"/>
      <c r="C65" s="93" t="n"/>
    </row>
    <row r="66">
      <c r="A66" s="92" t="n"/>
      <c r="B66" s="92" t="n"/>
      <c r="C66" s="93" t="n"/>
    </row>
    <row r="67">
      <c r="A67" s="92" t="n"/>
      <c r="B67" s="92" t="n"/>
      <c r="C67" s="93" t="n"/>
    </row>
    <row r="68">
      <c r="A68" s="92" t="n"/>
      <c r="B68" s="92" t="n"/>
      <c r="C68" s="93" t="n"/>
    </row>
    <row r="69">
      <c r="A69" s="92" t="n"/>
      <c r="B69" s="92" t="n"/>
      <c r="C69" s="93" t="n"/>
    </row>
    <row r="70">
      <c r="A70" s="92" t="n"/>
      <c r="B70" s="92" t="n"/>
      <c r="C70" s="93" t="n"/>
    </row>
    <row r="71">
      <c r="A71" s="92" t="n"/>
      <c r="B71" s="92" t="n"/>
      <c r="C71" s="93" t="n"/>
    </row>
    <row r="72">
      <c r="A72" s="92" t="n"/>
      <c r="B72" s="92" t="n"/>
      <c r="C72" s="93" t="n"/>
    </row>
    <row r="73">
      <c r="A73" s="92" t="n"/>
      <c r="B73" s="92" t="n"/>
      <c r="C73" s="93" t="n"/>
    </row>
    <row r="74">
      <c r="A74" s="92" t="n"/>
      <c r="B74" s="92" t="n"/>
      <c r="C74" s="93" t="n"/>
    </row>
    <row r="75">
      <c r="A75" s="92" t="n"/>
      <c r="B75" s="92" t="n"/>
      <c r="C75" s="93" t="n"/>
    </row>
    <row r="76">
      <c r="A76" s="92" t="n"/>
      <c r="B76" s="92" t="n"/>
      <c r="C76" s="93" t="n"/>
    </row>
    <row r="77">
      <c r="A77" s="92" t="n"/>
      <c r="B77" s="92" t="n"/>
      <c r="C77" s="93" t="n"/>
    </row>
    <row r="78">
      <c r="A78" s="92" t="n"/>
      <c r="B78" s="92" t="n"/>
      <c r="C78" s="93" t="n"/>
    </row>
    <row r="79">
      <c r="A79" s="92" t="n"/>
      <c r="B79" s="92" t="n"/>
      <c r="C79" s="93" t="n"/>
    </row>
    <row r="80">
      <c r="A80" s="92" t="n"/>
      <c r="B80" s="92" t="n"/>
      <c r="C80" s="93" t="n"/>
    </row>
    <row r="81">
      <c r="A81" s="92" t="n"/>
      <c r="B81" s="92" t="n"/>
      <c r="C81" s="93" t="n"/>
    </row>
    <row r="82">
      <c r="A82" s="92" t="n"/>
      <c r="B82" s="92" t="n"/>
      <c r="C82" s="93" t="n"/>
    </row>
    <row r="83">
      <c r="A83" s="92" t="n"/>
      <c r="B83" s="92" t="n"/>
      <c r="C83" s="93" t="n"/>
    </row>
    <row r="84">
      <c r="A84" s="92" t="n"/>
      <c r="B84" s="92" t="n"/>
      <c r="C84" s="93" t="n"/>
    </row>
    <row r="85">
      <c r="A85" s="92" t="n"/>
      <c r="B85" s="92" t="n"/>
      <c r="C85" s="93" t="n"/>
    </row>
    <row r="86">
      <c r="A86" s="92" t="n"/>
      <c r="B86" s="92" t="n"/>
      <c r="C86" s="93" t="n"/>
    </row>
    <row r="87">
      <c r="A87" s="92" t="n"/>
      <c r="B87" s="92" t="n"/>
      <c r="C87" s="93" t="n"/>
    </row>
    <row r="88">
      <c r="A88" s="92" t="n"/>
      <c r="B88" s="92" t="n"/>
      <c r="C88" s="93" t="n"/>
    </row>
    <row r="89">
      <c r="A89" s="92" t="n"/>
      <c r="B89" s="92" t="n"/>
      <c r="C89" s="93" t="n"/>
    </row>
    <row r="90">
      <c r="A90" s="92" t="n"/>
      <c r="B90" s="92" t="n"/>
      <c r="C90" s="93" t="n"/>
    </row>
    <row r="91">
      <c r="A91" s="92" t="n"/>
      <c r="B91" s="92" t="n"/>
      <c r="C91" s="93" t="n"/>
    </row>
    <row r="92">
      <c r="A92" s="92" t="n"/>
      <c r="B92" s="92" t="n"/>
      <c r="C92" s="93" t="n"/>
    </row>
    <row r="93">
      <c r="A93" s="92" t="n"/>
      <c r="B93" s="92" t="n"/>
      <c r="C93" s="93" t="n"/>
    </row>
    <row r="94">
      <c r="A94" s="92" t="n"/>
      <c r="B94" s="92" t="n"/>
      <c r="C94" s="93" t="n"/>
    </row>
    <row r="95">
      <c r="A95" s="92" t="n"/>
      <c r="B95" s="92" t="n"/>
      <c r="C95" s="93" t="n"/>
    </row>
    <row r="96">
      <c r="A96" s="92" t="n"/>
      <c r="B96" s="92" t="n"/>
      <c r="C96" s="93" t="n"/>
    </row>
    <row r="97">
      <c r="A97" s="92" t="n"/>
      <c r="B97" s="92" t="n"/>
      <c r="C97" s="93" t="n"/>
    </row>
    <row r="98">
      <c r="A98" s="92" t="n"/>
      <c r="B98" s="92" t="n"/>
      <c r="C98" s="93" t="n"/>
    </row>
    <row r="99">
      <c r="A99" s="92" t="n"/>
      <c r="B99" s="92" t="n"/>
      <c r="C99" s="93" t="n"/>
    </row>
    <row r="100">
      <c r="A100" s="92" t="n"/>
      <c r="B100" s="92" t="n"/>
      <c r="C100" s="93" t="n"/>
    </row>
    <row r="101">
      <c r="A101" s="92" t="n"/>
      <c r="B101" s="92" t="n"/>
      <c r="C101" s="93" t="n"/>
    </row>
    <row r="102">
      <c r="A102" s="92" t="n"/>
      <c r="B102" s="92" t="n"/>
      <c r="C102" s="93" t="n"/>
    </row>
    <row r="103">
      <c r="A103" s="92" t="n"/>
      <c r="B103" s="92" t="n"/>
      <c r="C103" s="93" t="n"/>
    </row>
    <row r="104">
      <c r="A104" s="92" t="n"/>
      <c r="B104" s="92" t="n"/>
      <c r="C104" s="93" t="n"/>
    </row>
    <row r="105">
      <c r="A105" s="92" t="n"/>
      <c r="B105" s="92" t="n"/>
      <c r="C105" s="93" t="n"/>
    </row>
    <row r="106">
      <c r="A106" s="92" t="n"/>
      <c r="B106" s="92" t="n"/>
      <c r="C106" s="93" t="n"/>
    </row>
    <row r="107">
      <c r="A107" s="92" t="n"/>
      <c r="B107" s="92" t="n"/>
      <c r="C107" s="93" t="n"/>
    </row>
    <row r="108">
      <c r="A108" s="92" t="n"/>
      <c r="B108" s="92" t="n"/>
      <c r="C108" s="93" t="n"/>
    </row>
    <row r="109">
      <c r="A109" s="92" t="n"/>
      <c r="B109" s="92" t="n"/>
      <c r="C109" s="93" t="n"/>
    </row>
    <row r="110">
      <c r="A110" s="92" t="n"/>
      <c r="B110" s="92" t="n"/>
      <c r="C110" s="93" t="n"/>
    </row>
    <row r="111">
      <c r="A111" s="92" t="n"/>
      <c r="B111" s="92" t="n"/>
      <c r="C111" s="93" t="n"/>
    </row>
    <row r="112">
      <c r="A112" s="92" t="n"/>
      <c r="B112" s="92" t="n"/>
      <c r="C112" s="93" t="n"/>
    </row>
    <row r="113">
      <c r="A113" s="92" t="n"/>
      <c r="B113" s="92" t="n"/>
      <c r="C113" s="93" t="n"/>
    </row>
    <row r="114">
      <c r="A114" s="92" t="n"/>
      <c r="B114" s="92" t="n"/>
      <c r="C114" s="93" t="n"/>
    </row>
    <row r="115">
      <c r="A115" s="92" t="n"/>
      <c r="B115" s="92" t="n"/>
      <c r="C115" s="93" t="n"/>
    </row>
    <row r="116">
      <c r="A116" s="92" t="n"/>
      <c r="B116" s="92" t="n"/>
      <c r="C116" s="93" t="n"/>
    </row>
    <row r="117">
      <c r="A117" s="92" t="n"/>
      <c r="B117" s="92" t="n"/>
      <c r="C117" s="93" t="n"/>
    </row>
    <row r="118">
      <c r="A118" s="92" t="n"/>
      <c r="B118" s="92" t="n"/>
      <c r="C118" s="93" t="n"/>
    </row>
    <row r="119">
      <c r="A119" s="92" t="n"/>
      <c r="B119" s="92" t="n"/>
      <c r="C119" s="93" t="n"/>
    </row>
    <row r="120">
      <c r="A120" s="92" t="n"/>
      <c r="B120" s="92" t="n"/>
      <c r="C120" s="93" t="n"/>
    </row>
    <row r="121">
      <c r="A121" s="92" t="n"/>
      <c r="B121" s="92" t="n"/>
      <c r="C121" s="93" t="n"/>
    </row>
    <row r="122">
      <c r="A122" s="92" t="n"/>
      <c r="B122" s="92" t="n"/>
      <c r="C122" s="93" t="n"/>
    </row>
    <row r="123">
      <c r="A123" s="92" t="n"/>
      <c r="B123" s="92" t="n"/>
      <c r="C123" s="93" t="n"/>
    </row>
    <row r="124">
      <c r="A124" s="92" t="n"/>
      <c r="B124" s="92" t="n"/>
      <c r="C124" s="93" t="n"/>
    </row>
    <row r="125">
      <c r="A125" s="92" t="n"/>
      <c r="B125" s="92" t="n"/>
      <c r="C125" s="93" t="n"/>
    </row>
    <row r="126">
      <c r="A126" s="92" t="n"/>
      <c r="B126" s="92" t="n"/>
      <c r="C126" s="93" t="n"/>
    </row>
    <row r="127">
      <c r="A127" s="92" t="n"/>
      <c r="B127" s="92" t="n"/>
      <c r="C127" s="93" t="n"/>
    </row>
    <row r="128">
      <c r="A128" s="92" t="n"/>
      <c r="B128" s="92" t="n"/>
      <c r="C128" s="93" t="n"/>
    </row>
    <row r="129">
      <c r="A129" s="92" t="n"/>
      <c r="B129" s="92" t="n"/>
      <c r="C129" s="93" t="n"/>
    </row>
    <row r="130">
      <c r="A130" s="92" t="n"/>
      <c r="B130" s="92" t="n"/>
      <c r="C130" s="93" t="n"/>
    </row>
    <row r="131">
      <c r="A131" s="92" t="n"/>
      <c r="B131" s="92" t="n"/>
      <c r="C131" s="93" t="n"/>
    </row>
    <row r="132">
      <c r="A132" s="92" t="n"/>
      <c r="B132" s="92" t="n"/>
      <c r="C132" s="93" t="n"/>
    </row>
    <row r="133">
      <c r="A133" s="92" t="n"/>
      <c r="B133" s="92" t="n"/>
      <c r="C133" s="93" t="n"/>
    </row>
    <row r="134">
      <c r="A134" s="92" t="n"/>
      <c r="B134" s="92" t="n"/>
      <c r="C134" s="93" t="n"/>
    </row>
    <row r="135">
      <c r="A135" s="92" t="n"/>
      <c r="B135" s="92" t="n"/>
      <c r="C135" s="93" t="n"/>
    </row>
    <row r="136">
      <c r="A136" s="92" t="n"/>
      <c r="B136" s="92" t="n"/>
      <c r="C136" s="93" t="n"/>
    </row>
    <row r="137">
      <c r="A137" s="92" t="n"/>
      <c r="B137" s="92" t="n"/>
      <c r="C137" s="93" t="n"/>
    </row>
    <row r="138">
      <c r="A138" s="92" t="n"/>
      <c r="B138" s="92" t="n"/>
      <c r="C138" s="93" t="n"/>
    </row>
    <row r="139">
      <c r="A139" s="92" t="n"/>
      <c r="B139" s="92" t="n"/>
      <c r="C139" s="93" t="n"/>
    </row>
    <row r="140">
      <c r="A140" s="92" t="n"/>
      <c r="B140" s="92" t="n"/>
      <c r="C140" s="93" t="n"/>
    </row>
    <row r="141">
      <c r="A141" s="92" t="n"/>
      <c r="B141" s="92" t="n"/>
      <c r="C141" s="93" t="n"/>
    </row>
    <row r="142">
      <c r="A142" s="92" t="n"/>
      <c r="B142" s="92" t="n"/>
      <c r="C142" s="93" t="n"/>
    </row>
    <row r="143">
      <c r="A143" s="92" t="n"/>
      <c r="B143" s="92" t="n"/>
      <c r="C143" s="93" t="n"/>
    </row>
    <row r="144">
      <c r="A144" s="92" t="n"/>
      <c r="B144" s="92" t="n"/>
      <c r="C144" s="93" t="n"/>
    </row>
    <row r="145">
      <c r="A145" s="92" t="n"/>
      <c r="B145" s="92" t="n"/>
      <c r="C145" s="93" t="n"/>
    </row>
    <row r="146">
      <c r="A146" s="92" t="n"/>
      <c r="B146" s="92" t="n"/>
      <c r="C146" s="93" t="n"/>
    </row>
    <row r="147">
      <c r="A147" s="92" t="n"/>
      <c r="B147" s="92" t="n"/>
      <c r="C147" s="93" t="n"/>
    </row>
    <row r="148">
      <c r="A148" s="92" t="n"/>
      <c r="B148" s="92" t="n"/>
      <c r="C148" s="93" t="n"/>
    </row>
    <row r="149">
      <c r="A149" s="92" t="n"/>
      <c r="B149" s="92" t="n"/>
      <c r="C149" s="93" t="n"/>
    </row>
    <row r="150">
      <c r="A150" s="92" t="n"/>
      <c r="B150" s="92" t="n"/>
      <c r="C150" s="93" t="n"/>
    </row>
    <row r="151">
      <c r="A151" s="92" t="n"/>
      <c r="B151" s="92" t="n"/>
      <c r="C151" s="93" t="n"/>
    </row>
    <row r="152">
      <c r="A152" s="92" t="n"/>
      <c r="B152" s="92" t="n"/>
      <c r="C152" s="93" t="n"/>
    </row>
    <row r="153">
      <c r="A153" s="92" t="n"/>
      <c r="B153" s="92" t="n"/>
      <c r="C153" s="93" t="n"/>
    </row>
    <row r="154">
      <c r="A154" s="92" t="n"/>
      <c r="B154" s="92" t="n"/>
      <c r="C154" s="93" t="n"/>
    </row>
    <row r="155">
      <c r="A155" s="92" t="n"/>
      <c r="B155" s="92" t="n"/>
      <c r="C155" s="93" t="n"/>
    </row>
    <row r="156">
      <c r="A156" s="92" t="n"/>
      <c r="B156" s="92" t="n"/>
      <c r="C156" s="93" t="n"/>
    </row>
    <row r="157">
      <c r="A157" s="92" t="n"/>
      <c r="B157" s="92" t="n"/>
      <c r="C157" s="93" t="n"/>
    </row>
    <row r="158">
      <c r="A158" s="92" t="n"/>
      <c r="B158" s="92" t="n"/>
      <c r="C158" s="93" t="n"/>
    </row>
    <row r="159">
      <c r="A159" s="92" t="n"/>
      <c r="B159" s="92" t="n"/>
      <c r="C159" s="93" t="n"/>
    </row>
    <row r="160">
      <c r="A160" s="92" t="n"/>
      <c r="B160" s="92" t="n"/>
      <c r="C160" s="93" t="n"/>
    </row>
    <row r="161">
      <c r="A161" s="92" t="n"/>
      <c r="B161" s="92" t="n"/>
      <c r="C161" s="93" t="n"/>
    </row>
    <row r="162">
      <c r="A162" s="92" t="n"/>
      <c r="B162" s="92" t="n"/>
      <c r="C162" s="93" t="n"/>
    </row>
    <row r="163">
      <c r="A163" s="92" t="n"/>
      <c r="B163" s="92" t="n"/>
      <c r="C163" s="93" t="n"/>
    </row>
    <row r="164">
      <c r="A164" s="92" t="n"/>
      <c r="B164" s="92" t="n"/>
      <c r="C164" s="93" t="n"/>
    </row>
    <row r="165">
      <c r="A165" s="92" t="n"/>
      <c r="B165" s="92" t="n"/>
      <c r="C165" s="93" t="n"/>
    </row>
    <row r="166">
      <c r="A166" s="92" t="n"/>
      <c r="B166" s="92" t="n"/>
      <c r="C166" s="93" t="n"/>
    </row>
    <row r="167">
      <c r="A167" s="92" t="n"/>
      <c r="B167" s="92" t="n"/>
      <c r="C167" s="93" t="n"/>
    </row>
    <row r="168">
      <c r="A168" s="92" t="n"/>
      <c r="B168" s="92" t="n"/>
      <c r="C168" s="93" t="n"/>
    </row>
    <row r="169">
      <c r="A169" s="92" t="n"/>
      <c r="B169" s="92" t="n"/>
      <c r="C169" s="93" t="n"/>
    </row>
    <row r="170">
      <c r="A170" s="92" t="n"/>
      <c r="B170" s="92" t="n"/>
      <c r="C170" s="93" t="n"/>
    </row>
    <row r="171">
      <c r="A171" s="92" t="n"/>
      <c r="B171" s="92" t="n"/>
      <c r="C171" s="93" t="n"/>
    </row>
    <row r="172">
      <c r="A172" s="92" t="n"/>
      <c r="B172" s="92" t="n"/>
      <c r="C172" s="93" t="n"/>
    </row>
    <row r="173">
      <c r="A173" s="92" t="n"/>
      <c r="B173" s="92" t="n"/>
      <c r="C173" s="93" t="n"/>
    </row>
    <row r="174">
      <c r="A174" s="92" t="n"/>
      <c r="B174" s="92" t="n"/>
      <c r="C174" s="93" t="n"/>
    </row>
    <row r="175">
      <c r="A175" s="92" t="n"/>
      <c r="B175" s="92" t="n"/>
      <c r="C175" s="93" t="n"/>
    </row>
    <row r="176">
      <c r="A176" s="92" t="n"/>
      <c r="B176" s="92" t="n"/>
      <c r="C176" s="93" t="n"/>
    </row>
    <row r="177">
      <c r="A177" s="92" t="n"/>
      <c r="B177" s="92" t="n"/>
      <c r="C177" s="93" t="n"/>
    </row>
    <row r="178">
      <c r="A178" s="92" t="n"/>
      <c r="B178" s="92" t="n"/>
      <c r="C178" s="93" t="n"/>
    </row>
    <row r="179">
      <c r="A179" s="92" t="n"/>
      <c r="B179" s="92" t="n"/>
      <c r="C179" s="93" t="n"/>
    </row>
    <row r="180">
      <c r="A180" s="92" t="n"/>
      <c r="B180" s="92" t="n"/>
      <c r="C180" s="93" t="n"/>
    </row>
    <row r="181">
      <c r="A181" s="92" t="n"/>
      <c r="B181" s="92" t="n"/>
      <c r="C181" s="93" t="n"/>
    </row>
    <row r="182">
      <c r="A182" s="92" t="n"/>
      <c r="B182" s="92" t="n"/>
      <c r="C182" s="93" t="n"/>
    </row>
    <row r="183">
      <c r="A183" s="92" t="n"/>
      <c r="B183" s="92" t="n"/>
      <c r="C183" s="93" t="n"/>
    </row>
    <row r="184">
      <c r="A184" s="92" t="n"/>
      <c r="B184" s="92" t="n"/>
      <c r="C184" s="93" t="n"/>
    </row>
    <row r="185">
      <c r="A185" s="92" t="n"/>
      <c r="B185" s="92" t="n"/>
      <c r="C185" s="93" t="n"/>
    </row>
    <row r="186">
      <c r="A186" s="92" t="n"/>
      <c r="B186" s="92" t="n"/>
      <c r="C186" s="93" t="n"/>
    </row>
    <row r="187">
      <c r="A187" s="92" t="n"/>
      <c r="B187" s="92" t="n"/>
      <c r="C187" s="93" t="n"/>
    </row>
    <row r="188">
      <c r="A188" s="92" t="n"/>
      <c r="B188" s="92" t="n"/>
      <c r="C188" s="93" t="n"/>
    </row>
    <row r="189">
      <c r="A189" s="92" t="n"/>
      <c r="B189" s="92" t="n"/>
      <c r="C189" s="93" t="n"/>
    </row>
    <row r="190">
      <c r="A190" s="92" t="n"/>
      <c r="B190" s="92" t="n"/>
      <c r="C190" s="93" t="n"/>
    </row>
    <row r="191">
      <c r="A191" s="92" t="n"/>
      <c r="B191" s="92" t="n"/>
      <c r="C191" s="93" t="n"/>
    </row>
    <row r="192">
      <c r="A192" s="92" t="n"/>
      <c r="B192" s="92" t="n"/>
      <c r="C192" s="93" t="n"/>
    </row>
    <row r="193">
      <c r="A193" s="92" t="n"/>
      <c r="B193" s="92" t="n"/>
      <c r="C193" s="93" t="n"/>
    </row>
    <row r="194">
      <c r="A194" s="92" t="n"/>
      <c r="B194" s="92" t="n"/>
      <c r="C194" s="93" t="n"/>
    </row>
    <row r="195">
      <c r="A195" s="92" t="n"/>
      <c r="B195" s="92" t="n"/>
      <c r="C195" s="93" t="n"/>
    </row>
    <row r="196">
      <c r="A196" s="92" t="n"/>
      <c r="B196" s="92" t="n"/>
      <c r="C196" s="93" t="n"/>
    </row>
    <row r="197">
      <c r="A197" s="92" t="n"/>
      <c r="B197" s="92" t="n"/>
      <c r="C197" s="93" t="n"/>
    </row>
    <row r="198">
      <c r="A198" s="92" t="n"/>
      <c r="B198" s="92" t="n"/>
      <c r="C198" s="93" t="n"/>
    </row>
    <row r="199">
      <c r="A199" s="92" t="n"/>
      <c r="B199" s="92" t="n"/>
      <c r="C199" s="93" t="n"/>
    </row>
    <row r="200">
      <c r="A200" s="92" t="n"/>
      <c r="B200" s="92" t="n"/>
      <c r="C200" s="93" t="n"/>
    </row>
    <row r="201">
      <c r="A201" s="92" t="n"/>
      <c r="B201" s="92" t="n"/>
      <c r="C201" s="93" t="n"/>
    </row>
    <row r="202">
      <c r="A202" s="92" t="n"/>
      <c r="B202" s="92" t="n"/>
      <c r="C202" s="93" t="n"/>
    </row>
    <row r="203">
      <c r="A203" s="92" t="n"/>
      <c r="B203" s="92" t="n"/>
      <c r="C203" s="93" t="n"/>
    </row>
    <row r="204">
      <c r="A204" s="92" t="n"/>
      <c r="B204" s="92" t="n"/>
      <c r="C204" s="93" t="n"/>
    </row>
    <row r="205">
      <c r="A205" s="92" t="n"/>
      <c r="B205" s="92" t="n"/>
      <c r="C205" s="93" t="n"/>
    </row>
    <row r="206">
      <c r="A206" s="92" t="n"/>
      <c r="B206" s="92" t="n"/>
      <c r="C206" s="93" t="n"/>
    </row>
    <row r="207">
      <c r="A207" s="92" t="n"/>
      <c r="B207" s="92" t="n"/>
      <c r="C207" s="93" t="n"/>
    </row>
    <row r="208">
      <c r="A208" s="92" t="n"/>
      <c r="B208" s="92" t="n"/>
      <c r="C208" s="93" t="n"/>
    </row>
    <row r="209">
      <c r="A209" s="92" t="n"/>
      <c r="B209" s="92" t="n"/>
      <c r="C209" s="93" t="n"/>
    </row>
    <row r="210">
      <c r="A210" s="92" t="n"/>
      <c r="B210" s="92" t="n"/>
      <c r="C210" s="93" t="n"/>
    </row>
    <row r="211">
      <c r="A211" s="92" t="n"/>
      <c r="B211" s="92" t="n"/>
      <c r="C211" s="93" t="n"/>
    </row>
    <row r="212">
      <c r="A212" s="92" t="n"/>
      <c r="B212" s="92" t="n"/>
      <c r="C212" s="93" t="n"/>
    </row>
    <row r="213">
      <c r="A213" s="92" t="n"/>
      <c r="B213" s="92" t="n"/>
      <c r="C213" s="93" t="n"/>
    </row>
    <row r="214">
      <c r="A214" s="92" t="n"/>
      <c r="B214" s="92" t="n"/>
      <c r="C214" s="93" t="n"/>
    </row>
    <row r="215">
      <c r="A215" s="92" t="n"/>
      <c r="B215" s="92" t="n"/>
      <c r="C215" s="93" t="n"/>
    </row>
    <row r="216">
      <c r="A216" s="92" t="n"/>
      <c r="B216" s="92" t="n"/>
      <c r="C216" s="93" t="n"/>
    </row>
    <row r="217">
      <c r="A217" s="92" t="n"/>
      <c r="B217" s="92" t="n"/>
      <c r="C217" s="93" t="n"/>
    </row>
    <row r="218">
      <c r="A218" s="92" t="n"/>
      <c r="B218" s="92" t="n"/>
      <c r="C218" s="93" t="n"/>
    </row>
    <row r="219">
      <c r="A219" s="92" t="n"/>
      <c r="B219" s="92" t="n"/>
      <c r="C219" s="93" t="n"/>
    </row>
    <row r="220">
      <c r="A220" s="92" t="n"/>
      <c r="B220" s="92" t="n"/>
      <c r="C220" s="93" t="n"/>
    </row>
    <row r="221">
      <c r="A221" s="92" t="n"/>
      <c r="B221" s="92" t="n"/>
      <c r="C221" s="93" t="n"/>
    </row>
    <row r="222">
      <c r="A222" s="92" t="n"/>
      <c r="B222" s="92" t="n"/>
      <c r="C222" s="93" t="n"/>
    </row>
    <row r="223">
      <c r="A223" s="92" t="n"/>
      <c r="B223" s="92" t="n"/>
      <c r="C223" s="93" t="n"/>
    </row>
    <row r="224">
      <c r="A224" s="92" t="n"/>
      <c r="B224" s="92" t="n"/>
      <c r="C224" s="93" t="n"/>
    </row>
    <row r="225">
      <c r="A225" s="92" t="n"/>
      <c r="B225" s="92" t="n"/>
      <c r="C225" s="93" t="n"/>
    </row>
    <row r="226">
      <c r="A226" s="92" t="n"/>
      <c r="B226" s="92" t="n"/>
      <c r="C226" s="93" t="n"/>
    </row>
    <row r="227">
      <c r="A227" s="92" t="n"/>
      <c r="B227" s="92" t="n"/>
      <c r="C227" s="93" t="n"/>
    </row>
    <row r="228">
      <c r="A228" s="92" t="n"/>
      <c r="B228" s="92" t="n"/>
      <c r="C228" s="93" t="n"/>
    </row>
    <row r="229">
      <c r="A229" s="92" t="n"/>
      <c r="B229" s="92" t="n"/>
      <c r="C229" s="93" t="n"/>
    </row>
    <row r="230">
      <c r="A230" s="92" t="n"/>
      <c r="B230" s="92" t="n"/>
      <c r="C230" s="93" t="n"/>
    </row>
    <row r="231">
      <c r="A231" s="92" t="n"/>
      <c r="B231" s="92" t="n"/>
      <c r="C231" s="93" t="n"/>
    </row>
    <row r="232">
      <c r="A232" s="92" t="n"/>
      <c r="B232" s="92" t="n"/>
      <c r="C232" s="93" t="n"/>
    </row>
    <row r="233">
      <c r="A233" s="92" t="n"/>
      <c r="B233" s="92" t="n"/>
      <c r="C233" s="93" t="n"/>
    </row>
    <row r="234">
      <c r="A234" s="92" t="n"/>
      <c r="B234" s="92" t="n"/>
      <c r="C234" s="93" t="n"/>
    </row>
    <row r="235">
      <c r="A235" s="92" t="n"/>
      <c r="B235" s="92" t="n"/>
      <c r="C235" s="93" t="n"/>
    </row>
    <row r="236">
      <c r="A236" s="92" t="n"/>
      <c r="B236" s="92" t="n"/>
      <c r="C236" s="93" t="n"/>
    </row>
    <row r="237">
      <c r="A237" s="92" t="n"/>
      <c r="B237" s="92" t="n"/>
      <c r="C237" s="93" t="n"/>
    </row>
    <row r="238">
      <c r="A238" s="92" t="n"/>
      <c r="B238" s="92" t="n"/>
      <c r="C238" s="93" t="n"/>
    </row>
    <row r="239">
      <c r="A239" s="92" t="n"/>
      <c r="B239" s="92" t="n"/>
      <c r="C239" s="93" t="n"/>
    </row>
    <row r="240">
      <c r="A240" s="92" t="n"/>
      <c r="B240" s="92" t="n"/>
      <c r="C240" s="93" t="n"/>
    </row>
    <row r="241">
      <c r="A241" s="92" t="n"/>
      <c r="B241" s="92" t="n"/>
      <c r="C241" s="93" t="n"/>
    </row>
    <row r="242">
      <c r="A242" s="92" t="n"/>
      <c r="B242" s="92" t="n"/>
      <c r="C242" s="93" t="n"/>
    </row>
    <row r="243">
      <c r="A243" s="92" t="n"/>
      <c r="B243" s="92" t="n"/>
      <c r="C243" s="93" t="n"/>
    </row>
    <row r="244">
      <c r="A244" s="92" t="n"/>
      <c r="B244" s="92" t="n"/>
      <c r="C244" s="93" t="n"/>
    </row>
    <row r="245">
      <c r="A245" s="92" t="n"/>
      <c r="B245" s="92" t="n"/>
      <c r="C245" s="93" t="n"/>
    </row>
    <row r="246">
      <c r="A246" s="92" t="n"/>
      <c r="B246" s="92" t="n"/>
      <c r="C246" s="93" t="n"/>
    </row>
    <row r="247">
      <c r="A247" s="92" t="n"/>
      <c r="B247" s="92" t="n"/>
      <c r="C247" s="93" t="n"/>
    </row>
    <row r="248">
      <c r="A248" s="92" t="n"/>
      <c r="B248" s="92" t="n"/>
      <c r="C248" s="93" t="n"/>
    </row>
    <row r="249">
      <c r="A249" s="92" t="n"/>
      <c r="B249" s="92" t="n"/>
      <c r="C249" s="93" t="n"/>
    </row>
    <row r="250">
      <c r="A250" s="92" t="n"/>
      <c r="B250" s="92" t="n"/>
      <c r="C250" s="93" t="n"/>
    </row>
    <row r="251">
      <c r="A251" s="92" t="n"/>
      <c r="B251" s="92" t="n"/>
      <c r="C251" s="93" t="n"/>
    </row>
    <row r="252">
      <c r="A252" s="92" t="n"/>
      <c r="B252" s="92" t="n"/>
      <c r="C252" s="93" t="n"/>
    </row>
    <row r="253">
      <c r="A253" s="92" t="n"/>
      <c r="B253" s="92" t="n"/>
      <c r="C253" s="93" t="n"/>
    </row>
    <row r="254">
      <c r="A254" s="92" t="n"/>
      <c r="B254" s="92" t="n"/>
      <c r="C254" s="93" t="n"/>
    </row>
    <row r="255">
      <c r="A255" s="92" t="n"/>
      <c r="B255" s="92" t="n"/>
      <c r="C255" s="93" t="n"/>
    </row>
    <row r="256">
      <c r="A256" s="92" t="n"/>
      <c r="B256" s="92" t="n"/>
      <c r="C256" s="93" t="n"/>
    </row>
    <row r="257">
      <c r="A257" s="92" t="n"/>
      <c r="B257" s="92" t="n"/>
      <c r="C257" s="93" t="n"/>
    </row>
    <row r="258">
      <c r="A258" s="92" t="n"/>
      <c r="B258" s="92" t="n"/>
      <c r="C258" s="93" t="n"/>
    </row>
    <row r="259">
      <c r="A259" s="92" t="n"/>
      <c r="B259" s="92" t="n"/>
      <c r="C259" s="93" t="n"/>
    </row>
    <row r="260">
      <c r="A260" s="92" t="n"/>
      <c r="B260" s="92" t="n"/>
      <c r="C260" s="93" t="n"/>
    </row>
    <row r="261">
      <c r="A261" s="92" t="n"/>
      <c r="B261" s="92" t="n"/>
      <c r="C261" s="93" t="n"/>
    </row>
    <row r="262">
      <c r="A262" s="92" t="n"/>
      <c r="B262" s="92" t="n"/>
      <c r="C262" s="93" t="n"/>
    </row>
    <row r="263">
      <c r="A263" s="92" t="n"/>
      <c r="B263" s="92" t="n"/>
      <c r="C263" s="93" t="n"/>
    </row>
    <row r="264">
      <c r="A264" s="92" t="n"/>
      <c r="B264" s="92" t="n"/>
      <c r="C264" s="93" t="n"/>
    </row>
    <row r="265">
      <c r="A265" s="92" t="n"/>
      <c r="B265" s="92" t="n"/>
      <c r="C265" s="93" t="n"/>
    </row>
    <row r="266">
      <c r="A266" s="92" t="n"/>
      <c r="B266" s="92" t="n"/>
      <c r="C266" s="93" t="n"/>
    </row>
    <row r="267">
      <c r="A267" s="92" t="n"/>
      <c r="B267" s="92" t="n"/>
      <c r="C267" s="93" t="n"/>
    </row>
    <row r="268">
      <c r="A268" s="92" t="n"/>
      <c r="B268" s="92" t="n"/>
      <c r="C268" s="93" t="n"/>
    </row>
    <row r="269">
      <c r="A269" s="92" t="n"/>
      <c r="B269" s="92" t="n"/>
      <c r="C269" s="93" t="n"/>
    </row>
    <row r="270">
      <c r="A270" s="92" t="n"/>
      <c r="B270" s="92" t="n"/>
      <c r="C270" s="93" t="n"/>
    </row>
    <row r="271">
      <c r="A271" s="92" t="n"/>
      <c r="B271" s="92" t="n"/>
      <c r="C271" s="93" t="n"/>
    </row>
    <row r="272">
      <c r="A272" s="92" t="n"/>
      <c r="B272" s="92" t="n"/>
      <c r="C272" s="93" t="n"/>
    </row>
    <row r="273">
      <c r="A273" s="92" t="n"/>
      <c r="B273" s="92" t="n"/>
      <c r="C273" s="93" t="n"/>
    </row>
    <row r="274">
      <c r="A274" s="92" t="n"/>
      <c r="B274" s="92" t="n"/>
      <c r="C274" s="93" t="n"/>
    </row>
    <row r="275">
      <c r="A275" s="92" t="n"/>
      <c r="B275" s="92" t="n"/>
      <c r="C275" s="93" t="n"/>
    </row>
    <row r="276">
      <c r="A276" s="92" t="n"/>
      <c r="B276" s="92" t="n"/>
      <c r="C276" s="93" t="n"/>
    </row>
    <row r="277">
      <c r="A277" s="92" t="n"/>
      <c r="B277" s="92" t="n"/>
      <c r="C277" s="93" t="n"/>
    </row>
    <row r="278">
      <c r="A278" s="92" t="n"/>
      <c r="B278" s="92" t="n"/>
      <c r="C278" s="93" t="n"/>
    </row>
    <row r="279">
      <c r="A279" s="92" t="n"/>
      <c r="B279" s="92" t="n"/>
      <c r="C279" s="93" t="n"/>
    </row>
    <row r="280">
      <c r="A280" s="92" t="n"/>
      <c r="B280" s="92" t="n"/>
      <c r="C280" s="93" t="n"/>
    </row>
    <row r="281">
      <c r="A281" s="92" t="n"/>
      <c r="B281" s="92" t="n"/>
      <c r="C281" s="93" t="n"/>
    </row>
    <row r="282">
      <c r="A282" s="92" t="n"/>
      <c r="B282" s="92" t="n"/>
      <c r="C282" s="93" t="n"/>
    </row>
    <row r="283">
      <c r="A283" s="92" t="n"/>
      <c r="B283" s="92" t="n"/>
      <c r="C283" s="93" t="n"/>
    </row>
    <row r="284">
      <c r="A284" s="92" t="n"/>
      <c r="B284" s="92" t="n"/>
      <c r="C284" s="93" t="n"/>
    </row>
    <row r="285">
      <c r="A285" s="92" t="n"/>
      <c r="B285" s="92" t="n"/>
      <c r="C285" s="93" t="n"/>
    </row>
    <row r="286">
      <c r="A286" s="92" t="n"/>
      <c r="B286" s="92" t="n"/>
      <c r="C286" s="93" t="n"/>
    </row>
    <row r="287">
      <c r="A287" s="92" t="n"/>
      <c r="B287" s="92" t="n"/>
      <c r="C287" s="93" t="n"/>
    </row>
    <row r="288">
      <c r="A288" s="92" t="n"/>
      <c r="B288" s="92" t="n"/>
      <c r="C288" s="93" t="n"/>
    </row>
    <row r="289">
      <c r="A289" s="92" t="n"/>
      <c r="B289" s="92" t="n"/>
      <c r="C289" s="93" t="n"/>
    </row>
    <row r="290">
      <c r="A290" s="92" t="n"/>
      <c r="B290" s="92" t="n"/>
      <c r="C290" s="93" t="n"/>
    </row>
    <row r="291">
      <c r="A291" s="92" t="n"/>
      <c r="B291" s="92" t="n"/>
      <c r="C291" s="93" t="n"/>
    </row>
    <row r="292">
      <c r="A292" s="92" t="n"/>
      <c r="B292" s="92" t="n"/>
      <c r="C292" s="93" t="n"/>
    </row>
    <row r="293">
      <c r="A293" s="92" t="n"/>
      <c r="B293" s="92" t="n"/>
      <c r="C293" s="93" t="n"/>
    </row>
    <row r="294">
      <c r="A294" s="92" t="n"/>
      <c r="B294" s="92" t="n"/>
      <c r="C294" s="93" t="n"/>
    </row>
    <row r="295">
      <c r="A295" s="92" t="n"/>
      <c r="B295" s="92" t="n"/>
      <c r="C295" s="93" t="n"/>
    </row>
    <row r="296">
      <c r="A296" s="92" t="n"/>
      <c r="B296" s="92" t="n"/>
      <c r="C296" s="93" t="n"/>
    </row>
    <row r="297">
      <c r="A297" s="92" t="n"/>
      <c r="B297" s="92" t="n"/>
      <c r="C297" s="93" t="n"/>
    </row>
    <row r="298">
      <c r="A298" s="92" t="n"/>
      <c r="B298" s="92" t="n"/>
      <c r="C298" s="93" t="n"/>
    </row>
    <row r="299">
      <c r="A299" s="92" t="n"/>
      <c r="B299" s="92" t="n"/>
      <c r="C299" s="93" t="n"/>
    </row>
    <row r="300">
      <c r="A300" s="92" t="n"/>
      <c r="B300" s="92" t="n"/>
      <c r="C300" s="93" t="n"/>
    </row>
    <row r="301">
      <c r="A301" s="92" t="n"/>
      <c r="B301" s="92" t="n"/>
      <c r="C301" s="93" t="n"/>
    </row>
    <row r="302">
      <c r="A302" s="92" t="n"/>
      <c r="B302" s="92" t="n"/>
      <c r="C302" s="93" t="n"/>
    </row>
    <row r="303">
      <c r="A303" s="92" t="n"/>
      <c r="B303" s="92" t="n"/>
      <c r="C303" s="93" t="n"/>
    </row>
    <row r="304">
      <c r="A304" s="92" t="n"/>
      <c r="B304" s="92" t="n"/>
      <c r="C304" s="93" t="n"/>
    </row>
    <row r="305">
      <c r="A305" s="92" t="n"/>
      <c r="B305" s="92" t="n"/>
      <c r="C305" s="93" t="n"/>
    </row>
    <row r="306">
      <c r="A306" s="92" t="n"/>
      <c r="B306" s="92" t="n"/>
      <c r="C306" s="93" t="n"/>
    </row>
    <row r="307">
      <c r="A307" s="92" t="n"/>
      <c r="B307" s="92" t="n"/>
      <c r="C307" s="93" t="n"/>
    </row>
    <row r="308">
      <c r="A308" s="92" t="n"/>
      <c r="B308" s="92" t="n"/>
      <c r="C308" s="93" t="n"/>
    </row>
    <row r="309">
      <c r="A309" s="92" t="n"/>
      <c r="B309" s="92" t="n"/>
      <c r="C309" s="93" t="n"/>
    </row>
    <row r="310">
      <c r="A310" s="92" t="n"/>
      <c r="B310" s="92" t="n"/>
      <c r="C310" s="93" t="n"/>
    </row>
    <row r="311">
      <c r="A311" s="92" t="n"/>
      <c r="B311" s="92" t="n"/>
      <c r="C311" s="93" t="n"/>
    </row>
    <row r="312">
      <c r="A312" s="92" t="n"/>
      <c r="B312" s="92" t="n"/>
      <c r="C312" s="93" t="n"/>
    </row>
    <row r="313">
      <c r="A313" s="92" t="n"/>
      <c r="B313" s="92" t="n"/>
      <c r="C313" s="93" t="n"/>
    </row>
    <row r="314">
      <c r="A314" s="92" t="n"/>
      <c r="B314" s="92" t="n"/>
      <c r="C314" s="93" t="n"/>
    </row>
    <row r="315">
      <c r="A315" s="92" t="n"/>
      <c r="B315" s="92" t="n"/>
      <c r="C315" s="93" t="n"/>
    </row>
    <row r="316">
      <c r="A316" s="92" t="n"/>
      <c r="B316" s="92" t="n"/>
      <c r="C316" s="93" t="n"/>
    </row>
    <row r="317">
      <c r="A317" s="92" t="n"/>
      <c r="B317" s="92" t="n"/>
      <c r="C317" s="93" t="n"/>
    </row>
    <row r="318">
      <c r="A318" s="92" t="n"/>
      <c r="B318" s="92" t="n"/>
      <c r="C318" s="93" t="n"/>
    </row>
    <row r="319">
      <c r="A319" s="92" t="n"/>
      <c r="B319" s="92" t="n"/>
      <c r="C319" s="93" t="n"/>
    </row>
    <row r="320">
      <c r="A320" s="92" t="n"/>
      <c r="B320" s="92" t="n"/>
      <c r="C320" s="93" t="n"/>
    </row>
    <row r="321">
      <c r="A321" s="92" t="n"/>
      <c r="B321" s="92" t="n"/>
      <c r="C321" s="93" t="n"/>
    </row>
    <row r="322">
      <c r="A322" s="92" t="n"/>
      <c r="B322" s="92" t="n"/>
      <c r="C322" s="93" t="n"/>
    </row>
    <row r="323">
      <c r="A323" s="92" t="n"/>
      <c r="B323" s="92" t="n"/>
      <c r="C323" s="93" t="n"/>
    </row>
    <row r="324">
      <c r="A324" s="92" t="n"/>
      <c r="B324" s="92" t="n"/>
      <c r="C324" s="93" t="n"/>
    </row>
    <row r="325">
      <c r="A325" s="92" t="n"/>
      <c r="B325" s="92" t="n"/>
      <c r="C325" s="93" t="n"/>
    </row>
    <row r="326">
      <c r="A326" s="92" t="n"/>
      <c r="B326" s="92" t="n"/>
      <c r="C326" s="93" t="n"/>
    </row>
    <row r="327">
      <c r="A327" s="92" t="n"/>
      <c r="B327" s="92" t="n"/>
      <c r="C327" s="93" t="n"/>
    </row>
    <row r="328">
      <c r="A328" s="92" t="n"/>
      <c r="B328" s="92" t="n"/>
      <c r="C328" s="93" t="n"/>
    </row>
    <row r="329">
      <c r="A329" s="92" t="n"/>
      <c r="B329" s="92" t="n"/>
      <c r="C329" s="93" t="n"/>
    </row>
    <row r="330">
      <c r="A330" s="92" t="n"/>
      <c r="B330" s="92" t="n"/>
      <c r="C330" s="93" t="n"/>
    </row>
    <row r="331">
      <c r="A331" s="92" t="n"/>
      <c r="B331" s="92" t="n"/>
      <c r="C331" s="93" t="n"/>
    </row>
    <row r="332">
      <c r="A332" s="92" t="n"/>
      <c r="B332" s="92" t="n"/>
      <c r="C332" s="93" t="n"/>
    </row>
    <row r="333">
      <c r="A333" s="92" t="n"/>
      <c r="B333" s="92" t="n"/>
      <c r="C333" s="93" t="n"/>
    </row>
    <row r="334">
      <c r="A334" s="92" t="n"/>
      <c r="B334" s="92" t="n"/>
      <c r="C334" s="93" t="n"/>
    </row>
    <row r="335">
      <c r="A335" s="92" t="n"/>
      <c r="B335" s="92" t="n"/>
      <c r="C335" s="93" t="n"/>
    </row>
    <row r="336">
      <c r="A336" s="92" t="n"/>
      <c r="B336" s="92" t="n"/>
      <c r="C336" s="93" t="n"/>
    </row>
    <row r="337">
      <c r="A337" s="92" t="n"/>
      <c r="B337" s="92" t="n"/>
      <c r="C337" s="93" t="n"/>
    </row>
    <row r="338">
      <c r="A338" s="92" t="n"/>
      <c r="B338" s="92" t="n"/>
      <c r="C338" s="93" t="n"/>
    </row>
    <row r="339">
      <c r="A339" s="92" t="n"/>
      <c r="B339" s="92" t="n"/>
      <c r="C339" s="93" t="n"/>
    </row>
    <row r="340">
      <c r="A340" s="92" t="n"/>
      <c r="B340" s="92" t="n"/>
      <c r="C340" s="93" t="n"/>
    </row>
    <row r="341">
      <c r="A341" s="92" t="n"/>
      <c r="B341" s="92" t="n"/>
      <c r="C341" s="93" t="n"/>
    </row>
    <row r="342">
      <c r="A342" s="92" t="n"/>
      <c r="B342" s="92" t="n"/>
      <c r="C342" s="93" t="n"/>
    </row>
    <row r="343">
      <c r="A343" s="92" t="n"/>
      <c r="B343" s="92" t="n"/>
      <c r="C343" s="93" t="n"/>
    </row>
    <row r="344">
      <c r="A344" s="92" t="n"/>
      <c r="B344" s="92" t="n"/>
      <c r="C344" s="93" t="n"/>
    </row>
    <row r="345">
      <c r="A345" s="92" t="n"/>
      <c r="B345" s="92" t="n"/>
      <c r="C345" s="93" t="n"/>
    </row>
    <row r="346">
      <c r="A346" s="92" t="n"/>
      <c r="B346" s="92" t="n"/>
      <c r="C346" s="93" t="n"/>
    </row>
    <row r="347">
      <c r="A347" s="92" t="n"/>
      <c r="B347" s="92" t="n"/>
      <c r="C347" s="93" t="n"/>
    </row>
    <row r="348">
      <c r="A348" s="92" t="n"/>
      <c r="B348" s="92" t="n"/>
      <c r="C348" s="93" t="n"/>
    </row>
    <row r="349">
      <c r="A349" s="92" t="n"/>
      <c r="B349" s="92" t="n"/>
      <c r="C349" s="93" t="n"/>
    </row>
    <row r="350">
      <c r="A350" s="92" t="n"/>
      <c r="B350" s="92" t="n"/>
      <c r="C350" s="93" t="n"/>
    </row>
    <row r="351">
      <c r="A351" s="92" t="n"/>
      <c r="B351" s="92" t="n"/>
      <c r="C351" s="93" t="n"/>
    </row>
    <row r="352">
      <c r="A352" s="92" t="n"/>
      <c r="B352" s="92" t="n"/>
      <c r="C352" s="93" t="n"/>
    </row>
    <row r="353">
      <c r="A353" s="92" t="n"/>
      <c r="B353" s="92" t="n"/>
      <c r="C353" s="93" t="n"/>
    </row>
    <row r="354">
      <c r="A354" s="92" t="n"/>
      <c r="B354" s="92" t="n"/>
      <c r="C354" s="93" t="n"/>
    </row>
    <row r="355">
      <c r="A355" s="92" t="n"/>
      <c r="B355" s="92" t="n"/>
      <c r="C355" s="93" t="n"/>
    </row>
    <row r="356">
      <c r="A356" s="92" t="n"/>
      <c r="B356" s="92" t="n"/>
      <c r="C356" s="93" t="n"/>
    </row>
    <row r="357">
      <c r="A357" s="92" t="n"/>
      <c r="B357" s="92" t="n"/>
      <c r="C357" s="93" t="n"/>
    </row>
    <row r="358">
      <c r="A358" s="92" t="n"/>
      <c r="B358" s="92" t="n"/>
      <c r="C358" s="93" t="n"/>
    </row>
    <row r="359">
      <c r="A359" s="92" t="n"/>
      <c r="B359" s="92" t="n"/>
      <c r="C359" s="93" t="n"/>
    </row>
    <row r="360">
      <c r="A360" s="92" t="n"/>
      <c r="B360" s="92" t="n"/>
      <c r="C360" s="93" t="n"/>
    </row>
    <row r="361">
      <c r="A361" s="92" t="n"/>
      <c r="B361" s="92" t="n"/>
      <c r="C361" s="93" t="n"/>
    </row>
    <row r="362">
      <c r="A362" s="92" t="n"/>
      <c r="B362" s="92" t="n"/>
      <c r="C362" s="93" t="n"/>
    </row>
    <row r="363">
      <c r="A363" s="92" t="n"/>
      <c r="B363" s="92" t="n"/>
      <c r="C363" s="93" t="n"/>
    </row>
    <row r="364">
      <c r="A364" s="92" t="n"/>
      <c r="B364" s="92" t="n"/>
      <c r="C364" s="93" t="n"/>
    </row>
    <row r="365">
      <c r="A365" s="92" t="n"/>
      <c r="B365" s="92" t="n"/>
      <c r="C365" s="93" t="n"/>
    </row>
    <row r="366">
      <c r="A366" s="92" t="n"/>
      <c r="B366" s="92" t="n"/>
      <c r="C366" s="93" t="n"/>
    </row>
    <row r="367">
      <c r="A367" s="92" t="n"/>
      <c r="B367" s="92" t="n"/>
      <c r="C367" s="93" t="n"/>
    </row>
    <row r="368">
      <c r="A368" s="92" t="n"/>
      <c r="B368" s="92" t="n"/>
      <c r="C368" s="93" t="n"/>
    </row>
    <row r="369">
      <c r="A369" s="92" t="n"/>
      <c r="B369" s="92" t="n"/>
      <c r="C369" s="93" t="n"/>
    </row>
    <row r="370">
      <c r="A370" s="92" t="n"/>
      <c r="B370" s="92" t="n"/>
      <c r="C370" s="93" t="n"/>
    </row>
    <row r="371">
      <c r="A371" s="92" t="n"/>
      <c r="B371" s="92" t="n"/>
      <c r="C371" s="93" t="n"/>
    </row>
    <row r="372">
      <c r="A372" s="92" t="n"/>
      <c r="B372" s="92" t="n"/>
      <c r="C372" s="93" t="n"/>
    </row>
    <row r="373">
      <c r="A373" s="92" t="n"/>
      <c r="B373" s="92" t="n"/>
      <c r="C373" s="93" t="n"/>
    </row>
    <row r="374">
      <c r="A374" s="92" t="n"/>
      <c r="B374" s="92" t="n"/>
      <c r="C374" s="93" t="n"/>
    </row>
    <row r="375">
      <c r="A375" s="92" t="n"/>
      <c r="B375" s="92" t="n"/>
      <c r="C375" s="93" t="n"/>
    </row>
    <row r="376">
      <c r="A376" s="92" t="n"/>
      <c r="B376" s="92" t="n"/>
      <c r="C376" s="93" t="n"/>
    </row>
    <row r="377">
      <c r="A377" s="92" t="n"/>
      <c r="B377" s="92" t="n"/>
      <c r="C377" s="93" t="n"/>
    </row>
    <row r="378">
      <c r="A378" s="92" t="n"/>
      <c r="B378" s="92" t="n"/>
      <c r="C378" s="93" t="n"/>
    </row>
    <row r="379">
      <c r="A379" s="92" t="n"/>
      <c r="B379" s="92" t="n"/>
      <c r="C379" s="93" t="n"/>
    </row>
    <row r="380">
      <c r="A380" s="92" t="n"/>
      <c r="B380" s="92" t="n"/>
      <c r="C380" s="93" t="n"/>
    </row>
    <row r="381">
      <c r="A381" s="92" t="n"/>
      <c r="B381" s="92" t="n"/>
      <c r="C381" s="93" t="n"/>
    </row>
    <row r="382">
      <c r="A382" s="92" t="n"/>
      <c r="B382" s="92" t="n"/>
      <c r="C382" s="93" t="n"/>
    </row>
    <row r="383">
      <c r="A383" s="92" t="n"/>
      <c r="B383" s="92" t="n"/>
      <c r="C383" s="93" t="n"/>
    </row>
    <row r="384">
      <c r="A384" s="92" t="n"/>
      <c r="B384" s="92" t="n"/>
      <c r="C384" s="93" t="n"/>
    </row>
    <row r="385">
      <c r="A385" s="92" t="n"/>
      <c r="B385" s="92" t="n"/>
      <c r="C385" s="93" t="n"/>
    </row>
    <row r="386">
      <c r="A386" s="92" t="n"/>
      <c r="B386" s="92" t="n"/>
      <c r="C386" s="93" t="n"/>
    </row>
    <row r="387">
      <c r="A387" s="92" t="n"/>
      <c r="B387" s="92" t="n"/>
      <c r="C387" s="93" t="n"/>
    </row>
    <row r="388">
      <c r="A388" s="92" t="n"/>
      <c r="B388" s="92" t="n"/>
      <c r="C388" s="93" t="n"/>
    </row>
    <row r="389">
      <c r="A389" s="92" t="n"/>
      <c r="B389" s="92" t="n"/>
      <c r="C389" s="93" t="n"/>
    </row>
    <row r="390">
      <c r="A390" s="92" t="n"/>
      <c r="B390" s="92" t="n"/>
      <c r="C390" s="93" t="n"/>
    </row>
    <row r="391">
      <c r="A391" s="92" t="n"/>
      <c r="B391" s="92" t="n"/>
      <c r="C391" s="93" t="n"/>
    </row>
    <row r="392">
      <c r="A392" s="92" t="n"/>
      <c r="B392" s="92" t="n"/>
      <c r="C392" s="93" t="n"/>
    </row>
    <row r="393">
      <c r="A393" s="92" t="n"/>
      <c r="B393" s="92" t="n"/>
      <c r="C393" s="93" t="n"/>
    </row>
    <row r="394">
      <c r="A394" s="92" t="n"/>
      <c r="B394" s="92" t="n"/>
      <c r="C394" s="93" t="n"/>
    </row>
    <row r="395">
      <c r="A395" s="92" t="n"/>
      <c r="B395" s="92" t="n"/>
      <c r="C395" s="93" t="n"/>
    </row>
    <row r="396">
      <c r="A396" s="92" t="n"/>
      <c r="B396" s="92" t="n"/>
      <c r="C396" s="93" t="n"/>
    </row>
    <row r="397">
      <c r="A397" s="92" t="n"/>
      <c r="B397" s="92" t="n"/>
      <c r="C397" s="93" t="n"/>
    </row>
    <row r="398">
      <c r="A398" s="92" t="n"/>
      <c r="B398" s="92" t="n"/>
      <c r="C398" s="93" t="n"/>
    </row>
    <row r="399">
      <c r="A399" s="92" t="n"/>
      <c r="B399" s="92" t="n"/>
      <c r="C399" s="93" t="n"/>
    </row>
    <row r="400">
      <c r="A400" s="92" t="n"/>
      <c r="B400" s="92" t="n"/>
      <c r="C400" s="93" t="n"/>
    </row>
    <row r="401">
      <c r="A401" s="92" t="n"/>
      <c r="B401" s="92" t="n"/>
      <c r="C401" s="93" t="n"/>
    </row>
    <row r="402">
      <c r="A402" s="92" t="n"/>
      <c r="B402" s="92" t="n"/>
      <c r="C402" s="93" t="n"/>
    </row>
    <row r="403">
      <c r="A403" s="92" t="n"/>
      <c r="B403" s="92" t="n"/>
      <c r="C403" s="93" t="n"/>
    </row>
    <row r="404">
      <c r="A404" s="92" t="n"/>
      <c r="B404" s="92" t="n"/>
      <c r="C404" s="93" t="n"/>
    </row>
    <row r="405">
      <c r="A405" s="92" t="n"/>
      <c r="B405" s="92" t="n"/>
      <c r="C405" s="93" t="n"/>
    </row>
    <row r="406">
      <c r="A406" s="92" t="n"/>
      <c r="B406" s="92" t="n"/>
      <c r="C406" s="93" t="n"/>
    </row>
    <row r="407">
      <c r="A407" s="92" t="n"/>
      <c r="B407" s="92" t="n"/>
      <c r="C407" s="93" t="n"/>
    </row>
    <row r="408">
      <c r="A408" s="92" t="n"/>
      <c r="B408" s="92" t="n"/>
      <c r="C408" s="93" t="n"/>
    </row>
    <row r="409">
      <c r="A409" s="92" t="n"/>
      <c r="B409" s="92" t="n"/>
      <c r="C409" s="93" t="n"/>
    </row>
    <row r="410">
      <c r="A410" s="92" t="n"/>
      <c r="B410" s="92" t="n"/>
      <c r="C410" s="93" t="n"/>
    </row>
    <row r="411">
      <c r="A411" s="92" t="n"/>
      <c r="B411" s="92" t="n"/>
      <c r="C411" s="93" t="n"/>
    </row>
    <row r="412">
      <c r="A412" s="92" t="n"/>
      <c r="B412" s="92" t="n"/>
      <c r="C412" s="93" t="n"/>
    </row>
    <row r="413">
      <c r="A413" s="92" t="n"/>
      <c r="B413" s="92" t="n"/>
      <c r="C413" s="93" t="n"/>
    </row>
    <row r="414">
      <c r="A414" s="92" t="n"/>
      <c r="B414" s="92" t="n"/>
      <c r="C414" s="93" t="n"/>
    </row>
    <row r="415">
      <c r="A415" s="92" t="n"/>
      <c r="B415" s="92" t="n"/>
      <c r="C415" s="93" t="n"/>
    </row>
    <row r="416">
      <c r="A416" s="92" t="n"/>
      <c r="B416" s="92" t="n"/>
      <c r="C416" s="93" t="n"/>
    </row>
    <row r="417">
      <c r="A417" s="92" t="n"/>
      <c r="B417" s="92" t="n"/>
      <c r="C417" s="93" t="n"/>
    </row>
    <row r="418">
      <c r="A418" s="92" t="n"/>
      <c r="B418" s="92" t="n"/>
      <c r="C418" s="93" t="n"/>
    </row>
    <row r="419">
      <c r="A419" s="92" t="n"/>
      <c r="B419" s="92" t="n"/>
      <c r="C419" s="93" t="n"/>
    </row>
    <row r="420">
      <c r="A420" s="92" t="n"/>
      <c r="B420" s="92" t="n"/>
      <c r="C420" s="93" t="n"/>
    </row>
    <row r="421">
      <c r="A421" s="92" t="n"/>
      <c r="B421" s="92" t="n"/>
      <c r="C421" s="93" t="n"/>
    </row>
    <row r="422">
      <c r="A422" s="92" t="n"/>
      <c r="B422" s="92" t="n"/>
      <c r="C422" s="93" t="n"/>
    </row>
    <row r="423">
      <c r="A423" s="92" t="n"/>
      <c r="B423" s="92" t="n"/>
      <c r="C423" s="93" t="n"/>
    </row>
    <row r="424">
      <c r="A424" s="92" t="n"/>
      <c r="B424" s="92" t="n"/>
      <c r="C424" s="93" t="n"/>
    </row>
    <row r="425">
      <c r="A425" s="92" t="n"/>
      <c r="B425" s="92" t="n"/>
      <c r="C425" s="93" t="n"/>
    </row>
    <row r="426">
      <c r="A426" s="92" t="n"/>
      <c r="B426" s="92" t="n"/>
      <c r="C426" s="93" t="n"/>
    </row>
    <row r="427">
      <c r="A427" s="92" t="n"/>
      <c r="B427" s="92" t="n"/>
      <c r="C427" s="93" t="n"/>
    </row>
    <row r="428">
      <c r="A428" s="92" t="n"/>
      <c r="B428" s="92" t="n"/>
      <c r="C428" s="93" t="n"/>
    </row>
    <row r="429">
      <c r="A429" s="92" t="n"/>
      <c r="B429" s="92" t="n"/>
      <c r="C429" s="93" t="n"/>
    </row>
    <row r="430">
      <c r="A430" s="92" t="n"/>
      <c r="B430" s="92" t="n"/>
      <c r="C430" s="93" t="n"/>
    </row>
    <row r="431">
      <c r="A431" s="92" t="n"/>
      <c r="B431" s="92" t="n"/>
      <c r="C431" s="93" t="n"/>
    </row>
    <row r="432">
      <c r="A432" s="92" t="n"/>
      <c r="B432" s="92" t="n"/>
      <c r="C432" s="93" t="n"/>
    </row>
    <row r="433">
      <c r="A433" s="92" t="n"/>
      <c r="B433" s="92" t="n"/>
      <c r="C433" s="93" t="n"/>
    </row>
    <row r="434">
      <c r="A434" s="92" t="n"/>
      <c r="B434" s="92" t="n"/>
      <c r="C434" s="93" t="n"/>
    </row>
    <row r="435">
      <c r="A435" s="92" t="n"/>
      <c r="B435" s="92" t="n"/>
      <c r="C435" s="93" t="n"/>
    </row>
    <row r="436">
      <c r="A436" s="92" t="n"/>
      <c r="B436" s="92" t="n"/>
      <c r="C436" s="93" t="n"/>
    </row>
    <row r="437">
      <c r="A437" s="92" t="n"/>
      <c r="B437" s="92" t="n"/>
      <c r="C437" s="93" t="n"/>
    </row>
    <row r="438">
      <c r="A438" s="92" t="n"/>
      <c r="B438" s="92" t="n"/>
      <c r="C438" s="93" t="n"/>
    </row>
    <row r="439">
      <c r="A439" s="92" t="n"/>
      <c r="B439" s="92" t="n"/>
      <c r="C439" s="93" t="n"/>
    </row>
    <row r="440">
      <c r="A440" s="92" t="n"/>
      <c r="B440" s="92" t="n"/>
      <c r="C440" s="93" t="n"/>
    </row>
    <row r="441">
      <c r="A441" s="92" t="n"/>
      <c r="B441" s="92" t="n"/>
      <c r="C441" s="93" t="n"/>
    </row>
    <row r="442">
      <c r="A442" s="92" t="n"/>
      <c r="B442" s="92" t="n"/>
      <c r="C442" s="93" t="n"/>
    </row>
    <row r="443">
      <c r="A443" s="92" t="n"/>
      <c r="B443" s="92" t="n"/>
      <c r="C443" s="93" t="n"/>
    </row>
    <row r="444">
      <c r="A444" s="92" t="n"/>
      <c r="B444" s="92" t="n"/>
      <c r="C444" s="93" t="n"/>
    </row>
    <row r="445">
      <c r="A445" s="92" t="n"/>
      <c r="B445" s="92" t="n"/>
      <c r="C445" s="93" t="n"/>
    </row>
    <row r="446">
      <c r="A446" s="92" t="n"/>
      <c r="B446" s="92" t="n"/>
      <c r="C446" s="93" t="n"/>
    </row>
    <row r="447">
      <c r="A447" s="92" t="n"/>
      <c r="B447" s="92" t="n"/>
      <c r="C447" s="93" t="n"/>
    </row>
    <row r="448">
      <c r="A448" s="92" t="n"/>
      <c r="B448" s="92" t="n"/>
      <c r="C448" s="93" t="n"/>
    </row>
    <row r="449">
      <c r="A449" s="92" t="n"/>
      <c r="B449" s="92" t="n"/>
      <c r="C449" s="93" t="n"/>
    </row>
    <row r="450">
      <c r="A450" s="92" t="n"/>
      <c r="B450" s="92" t="n"/>
      <c r="C450" s="93" t="n"/>
    </row>
    <row r="451">
      <c r="A451" s="92" t="n"/>
      <c r="B451" s="92" t="n"/>
      <c r="C451" s="93" t="n"/>
    </row>
    <row r="452">
      <c r="A452" s="92" t="n"/>
      <c r="B452" s="92" t="n"/>
      <c r="C452" s="93" t="n"/>
    </row>
    <row r="453">
      <c r="A453" s="92" t="n"/>
      <c r="B453" s="92" t="n"/>
      <c r="C453" s="93" t="n"/>
    </row>
    <row r="454">
      <c r="A454" s="92" t="n"/>
      <c r="B454" s="92" t="n"/>
      <c r="C454" s="93" t="n"/>
    </row>
    <row r="455">
      <c r="A455" s="92" t="n"/>
      <c r="B455" s="92" t="n"/>
      <c r="C455" s="93" t="n"/>
    </row>
    <row r="456">
      <c r="A456" s="92" t="n"/>
      <c r="B456" s="92" t="n"/>
      <c r="C456" s="93" t="n"/>
    </row>
    <row r="457">
      <c r="A457" s="92" t="n"/>
      <c r="B457" s="92" t="n"/>
      <c r="C457" s="93" t="n"/>
    </row>
    <row r="458">
      <c r="A458" s="92" t="n"/>
      <c r="B458" s="92" t="n"/>
      <c r="C458" s="93" t="n"/>
    </row>
    <row r="459">
      <c r="A459" s="92" t="n"/>
      <c r="B459" s="92" t="n"/>
      <c r="C459" s="93" t="n"/>
    </row>
    <row r="460">
      <c r="A460" s="92" t="n"/>
      <c r="B460" s="92" t="n"/>
      <c r="C460" s="93" t="n"/>
    </row>
    <row r="461">
      <c r="A461" s="92" t="n"/>
      <c r="B461" s="92" t="n"/>
      <c r="C461" s="93" t="n"/>
    </row>
    <row r="462">
      <c r="A462" s="92" t="n"/>
      <c r="B462" s="92" t="n"/>
      <c r="C462" s="93" t="n"/>
    </row>
    <row r="463">
      <c r="A463" s="92" t="n"/>
      <c r="B463" s="92" t="n"/>
      <c r="C463" s="93" t="n"/>
    </row>
    <row r="464">
      <c r="A464" s="92" t="n"/>
      <c r="B464" s="92" t="n"/>
      <c r="C464" s="93" t="n"/>
    </row>
    <row r="465">
      <c r="A465" s="92" t="n"/>
      <c r="B465" s="92" t="n"/>
      <c r="C465" s="93" t="n"/>
    </row>
    <row r="466">
      <c r="A466" s="92" t="n"/>
      <c r="B466" s="92" t="n"/>
      <c r="C466" s="93" t="n"/>
    </row>
    <row r="467">
      <c r="A467" s="92" t="n"/>
      <c r="B467" s="92" t="n"/>
      <c r="C467" s="93" t="n"/>
    </row>
    <row r="468">
      <c r="A468" s="92" t="n"/>
      <c r="B468" s="92" t="n"/>
      <c r="C468" s="93" t="n"/>
    </row>
    <row r="469">
      <c r="A469" s="92" t="n"/>
      <c r="B469" s="92" t="n"/>
      <c r="C469" s="93" t="n"/>
    </row>
    <row r="470">
      <c r="A470" s="92" t="n"/>
      <c r="B470" s="92" t="n"/>
      <c r="C470" s="93" t="n"/>
    </row>
    <row r="471">
      <c r="A471" s="92" t="n"/>
      <c r="B471" s="92" t="n"/>
      <c r="C471" s="93" t="n"/>
    </row>
    <row r="472">
      <c r="A472" s="92" t="n"/>
      <c r="B472" s="92" t="n"/>
      <c r="C472" s="93" t="n"/>
    </row>
    <row r="473">
      <c r="A473" s="92" t="n"/>
      <c r="B473" s="92" t="n"/>
      <c r="C473" s="93" t="n"/>
    </row>
    <row r="474">
      <c r="A474" s="92" t="n"/>
      <c r="B474" s="92" t="n"/>
      <c r="C474" s="93" t="n"/>
    </row>
    <row r="475">
      <c r="A475" s="92" t="n"/>
      <c r="B475" s="92" t="n"/>
      <c r="C475" s="93" t="n"/>
    </row>
    <row r="476">
      <c r="A476" s="92" t="n"/>
      <c r="B476" s="92" t="n"/>
      <c r="C476" s="93" t="n"/>
    </row>
    <row r="477">
      <c r="A477" s="92" t="n"/>
      <c r="B477" s="92" t="n"/>
      <c r="C477" s="93" t="n"/>
    </row>
    <row r="478">
      <c r="A478" s="92" t="n"/>
      <c r="B478" s="92" t="n"/>
      <c r="C478" s="93" t="n"/>
    </row>
    <row r="479">
      <c r="A479" s="92" t="n"/>
      <c r="B479" s="92" t="n"/>
      <c r="C479" s="93" t="n"/>
    </row>
    <row r="480">
      <c r="A480" s="92" t="n"/>
      <c r="B480" s="92" t="n"/>
      <c r="C480" s="93" t="n"/>
    </row>
    <row r="481">
      <c r="A481" s="92" t="n"/>
      <c r="B481" s="92" t="n"/>
      <c r="C481" s="93" t="n"/>
    </row>
    <row r="482">
      <c r="A482" s="92" t="n"/>
      <c r="B482" s="92" t="n"/>
      <c r="C482" s="93" t="n"/>
    </row>
    <row r="483">
      <c r="A483" s="92" t="n"/>
      <c r="B483" s="92" t="n"/>
      <c r="C483" s="93" t="n"/>
    </row>
    <row r="484">
      <c r="A484" s="92" t="n"/>
      <c r="B484" s="92" t="n"/>
      <c r="C484" s="93" t="n"/>
    </row>
    <row r="485">
      <c r="A485" s="92" t="n"/>
      <c r="B485" s="92" t="n"/>
      <c r="C485" s="93" t="n"/>
    </row>
    <row r="486">
      <c r="A486" s="92" t="n"/>
      <c r="B486" s="92" t="n"/>
      <c r="C486" s="93" t="n"/>
    </row>
    <row r="487">
      <c r="A487" s="92" t="n"/>
      <c r="B487" s="92" t="n"/>
      <c r="C487" s="93" t="n"/>
    </row>
    <row r="488">
      <c r="A488" s="92" t="n"/>
      <c r="B488" s="92" t="n"/>
      <c r="C488" s="93" t="n"/>
    </row>
    <row r="489">
      <c r="A489" s="92" t="n"/>
      <c r="B489" s="92" t="n"/>
      <c r="C489" s="93" t="n"/>
    </row>
    <row r="490">
      <c r="A490" s="92" t="n"/>
      <c r="B490" s="92" t="n"/>
      <c r="C490" s="93" t="n"/>
    </row>
    <row r="491">
      <c r="A491" s="92" t="n"/>
      <c r="B491" s="92" t="n"/>
      <c r="C491" s="93" t="n"/>
    </row>
    <row r="492">
      <c r="A492" s="92" t="n"/>
      <c r="B492" s="92" t="n"/>
      <c r="C492" s="93" t="n"/>
    </row>
    <row r="493">
      <c r="A493" s="92" t="n"/>
      <c r="B493" s="92" t="n"/>
      <c r="C493" s="93" t="n"/>
    </row>
    <row r="494">
      <c r="A494" s="92" t="n"/>
      <c r="B494" s="92" t="n"/>
      <c r="C494" s="93" t="n"/>
    </row>
    <row r="495">
      <c r="A495" s="92" t="n"/>
      <c r="B495" s="92" t="n"/>
      <c r="C495" s="93" t="n"/>
    </row>
    <row r="496">
      <c r="A496" s="92" t="n"/>
      <c r="B496" s="92" t="n"/>
      <c r="C496" s="93" t="n"/>
    </row>
    <row r="497">
      <c r="A497" s="92" t="n"/>
      <c r="B497" s="92" t="n"/>
      <c r="C497" s="93" t="n"/>
    </row>
    <row r="498">
      <c r="A498" s="92" t="n"/>
      <c r="B498" s="92" t="n"/>
      <c r="C498" s="93" t="n"/>
    </row>
    <row r="499">
      <c r="A499" s="92" t="n"/>
      <c r="B499" s="92" t="n"/>
      <c r="C499" s="93" t="n"/>
    </row>
    <row r="500">
      <c r="A500" s="92" t="n"/>
      <c r="B500" s="92" t="n"/>
      <c r="C500" s="93" t="n"/>
    </row>
    <row r="501">
      <c r="A501" s="92" t="n"/>
      <c r="B501" s="92" t="n"/>
      <c r="C501" s="93" t="n"/>
    </row>
    <row r="502">
      <c r="A502" s="92" t="n"/>
      <c r="B502" s="92" t="n"/>
      <c r="C502" s="93" t="n"/>
    </row>
    <row r="503">
      <c r="A503" s="92" t="n"/>
      <c r="B503" s="92" t="n"/>
      <c r="C503" s="93" t="n"/>
    </row>
    <row r="504">
      <c r="A504" s="92" t="n"/>
      <c r="B504" s="92" t="n"/>
      <c r="C504" s="93" t="n"/>
    </row>
    <row r="505">
      <c r="A505" s="92" t="n"/>
      <c r="B505" s="92" t="n"/>
      <c r="C505" s="93" t="n"/>
    </row>
    <row r="506">
      <c r="A506" s="92" t="n"/>
      <c r="B506" s="92" t="n"/>
      <c r="C506" s="93" t="n"/>
    </row>
    <row r="507">
      <c r="A507" s="92" t="n"/>
      <c r="B507" s="92" t="n"/>
      <c r="C507" s="93" t="n"/>
    </row>
    <row r="508">
      <c r="A508" s="92" t="n"/>
      <c r="B508" s="92" t="n"/>
      <c r="C508" s="93" t="n"/>
    </row>
    <row r="509">
      <c r="A509" s="92" t="n"/>
      <c r="B509" s="92" t="n"/>
      <c r="C509" s="93" t="n"/>
    </row>
    <row r="510">
      <c r="A510" s="92" t="n"/>
      <c r="B510" s="92" t="n"/>
      <c r="C510" s="93" t="n"/>
    </row>
    <row r="511">
      <c r="A511" s="92" t="n"/>
      <c r="B511" s="92" t="n"/>
      <c r="C511" s="93" t="n"/>
    </row>
    <row r="512">
      <c r="A512" s="92" t="n"/>
      <c r="B512" s="92" t="n"/>
      <c r="C512" s="93" t="n"/>
    </row>
    <row r="513">
      <c r="A513" s="92" t="n"/>
      <c r="B513" s="92" t="n"/>
      <c r="C513" s="93" t="n"/>
    </row>
    <row r="514">
      <c r="A514" s="92" t="n"/>
      <c r="B514" s="92" t="n"/>
      <c r="C514" s="93" t="n"/>
    </row>
    <row r="515">
      <c r="A515" s="92" t="n"/>
      <c r="B515" s="92" t="n"/>
      <c r="C515" s="93" t="n"/>
    </row>
    <row r="516">
      <c r="A516" s="92" t="n"/>
      <c r="B516" s="92" t="n"/>
      <c r="C516" s="93" t="n"/>
    </row>
    <row r="517">
      <c r="A517" s="92" t="n"/>
      <c r="B517" s="92" t="n"/>
      <c r="C517" s="93" t="n"/>
    </row>
    <row r="518">
      <c r="A518" s="92" t="n"/>
      <c r="B518" s="92" t="n"/>
      <c r="C518" s="93" t="n"/>
    </row>
    <row r="519">
      <c r="A519" s="92" t="n"/>
      <c r="B519" s="92" t="n"/>
      <c r="C519" s="93" t="n"/>
    </row>
    <row r="520">
      <c r="A520" s="92" t="n"/>
      <c r="B520" s="92" t="n"/>
      <c r="C520" s="93" t="n"/>
    </row>
    <row r="521">
      <c r="A521" s="92" t="n"/>
      <c r="B521" s="92" t="n"/>
      <c r="C521" s="93" t="n"/>
    </row>
    <row r="522">
      <c r="A522" s="92" t="n"/>
      <c r="B522" s="92" t="n"/>
      <c r="C522" s="93" t="n"/>
    </row>
    <row r="523">
      <c r="A523" s="92" t="n"/>
      <c r="B523" s="92" t="n"/>
      <c r="C523" s="93" t="n"/>
    </row>
    <row r="524">
      <c r="A524" s="92" t="n"/>
      <c r="B524" s="92" t="n"/>
      <c r="C524" s="93" t="n"/>
    </row>
    <row r="525">
      <c r="A525" s="92" t="n"/>
      <c r="B525" s="92" t="n"/>
      <c r="C525" s="93" t="n"/>
    </row>
    <row r="526">
      <c r="A526" s="92" t="n"/>
      <c r="B526" s="92" t="n"/>
      <c r="C526" s="93" t="n"/>
    </row>
    <row r="527">
      <c r="A527" s="92" t="n"/>
      <c r="B527" s="92" t="n"/>
      <c r="C527" s="93" t="n"/>
    </row>
    <row r="528">
      <c r="A528" s="92" t="n"/>
      <c r="B528" s="92" t="n"/>
      <c r="C528" s="93" t="n"/>
    </row>
    <row r="529">
      <c r="A529" s="92" t="n"/>
      <c r="B529" s="92" t="n"/>
      <c r="C529" s="93" t="n"/>
    </row>
    <row r="530">
      <c r="A530" s="92" t="n"/>
      <c r="B530" s="92" t="n"/>
      <c r="C530" s="93" t="n"/>
    </row>
    <row r="531">
      <c r="A531" s="92" t="n"/>
      <c r="B531" s="92" t="n"/>
      <c r="C531" s="93" t="n"/>
    </row>
    <row r="532">
      <c r="A532" s="92" t="n"/>
      <c r="B532" s="92" t="n"/>
      <c r="C532" s="93" t="n"/>
    </row>
    <row r="533">
      <c r="A533" s="92" t="n"/>
      <c r="B533" s="92" t="n"/>
      <c r="C533" s="93" t="n"/>
    </row>
    <row r="534">
      <c r="A534" s="92" t="n"/>
      <c r="B534" s="92" t="n"/>
      <c r="C534" s="93" t="n"/>
    </row>
    <row r="535">
      <c r="A535" s="92" t="n"/>
      <c r="B535" s="92" t="n"/>
      <c r="C535" s="93" t="n"/>
    </row>
    <row r="536">
      <c r="A536" s="92" t="n"/>
      <c r="B536" s="92" t="n"/>
      <c r="C536" s="93" t="n"/>
    </row>
    <row r="537">
      <c r="A537" s="92" t="n"/>
      <c r="B537" s="92" t="n"/>
      <c r="C537" s="93" t="n"/>
    </row>
    <row r="538">
      <c r="A538" s="92" t="n"/>
      <c r="B538" s="92" t="n"/>
      <c r="C538" s="93" t="n"/>
    </row>
    <row r="539">
      <c r="A539" s="92" t="n"/>
      <c r="B539" s="92" t="n"/>
      <c r="C539" s="93" t="n"/>
    </row>
    <row r="540">
      <c r="A540" s="92" t="n"/>
      <c r="B540" s="92" t="n"/>
      <c r="C540" s="93" t="n"/>
    </row>
    <row r="541">
      <c r="A541" s="92" t="n"/>
      <c r="B541" s="92" t="n"/>
      <c r="C541" s="93" t="n"/>
    </row>
    <row r="542">
      <c r="A542" s="92" t="n"/>
      <c r="B542" s="92" t="n"/>
      <c r="C542" s="93" t="n"/>
    </row>
    <row r="543">
      <c r="A543" s="92" t="n"/>
      <c r="B543" s="92" t="n"/>
      <c r="C543" s="93" t="n"/>
    </row>
    <row r="544">
      <c r="A544" s="92" t="n"/>
      <c r="B544" s="92" t="n"/>
      <c r="C544" s="93" t="n"/>
    </row>
    <row r="545">
      <c r="A545" s="92" t="n"/>
      <c r="B545" s="92" t="n"/>
      <c r="C545" s="93" t="n"/>
    </row>
    <row r="546">
      <c r="A546" s="92" t="n"/>
      <c r="B546" s="92" t="n"/>
      <c r="C546" s="93" t="n"/>
    </row>
    <row r="547">
      <c r="A547" s="92" t="n"/>
      <c r="B547" s="92" t="n"/>
      <c r="C547" s="93" t="n"/>
    </row>
    <row r="548">
      <c r="A548" s="92" t="n"/>
      <c r="B548" s="92" t="n"/>
      <c r="C548" s="93" t="n"/>
    </row>
    <row r="549">
      <c r="A549" s="92" t="n"/>
      <c r="B549" s="92" t="n"/>
      <c r="C549" s="93" t="n"/>
    </row>
    <row r="550">
      <c r="A550" s="92" t="n"/>
      <c r="B550" s="92" t="n"/>
      <c r="C550" s="93" t="n"/>
    </row>
    <row r="551">
      <c r="A551" s="92" t="n"/>
      <c r="B551" s="92" t="n"/>
      <c r="C551" s="93" t="n"/>
    </row>
    <row r="552">
      <c r="A552" s="92" t="n"/>
      <c r="B552" s="92" t="n"/>
      <c r="C552" s="93" t="n"/>
    </row>
    <row r="553">
      <c r="A553" s="92" t="n"/>
      <c r="B553" s="92" t="n"/>
      <c r="C553" s="93" t="n"/>
    </row>
    <row r="554">
      <c r="A554" s="92" t="n"/>
      <c r="B554" s="92" t="n"/>
      <c r="C554" s="93" t="n"/>
    </row>
    <row r="555">
      <c r="A555" s="92" t="n"/>
      <c r="B555" s="92" t="n"/>
      <c r="C555" s="93" t="n"/>
    </row>
    <row r="556">
      <c r="A556" s="92" t="n"/>
      <c r="B556" s="92" t="n"/>
      <c r="C556" s="93" t="n"/>
    </row>
    <row r="557">
      <c r="A557" s="92" t="n"/>
      <c r="B557" s="92" t="n"/>
      <c r="C557" s="93" t="n"/>
    </row>
    <row r="558">
      <c r="A558" s="92" t="n"/>
      <c r="B558" s="92" t="n"/>
      <c r="C558" s="93" t="n"/>
    </row>
    <row r="559">
      <c r="A559" s="92" t="n"/>
      <c r="B559" s="92" t="n"/>
      <c r="C559" s="93" t="n"/>
    </row>
    <row r="560">
      <c r="A560" s="92" t="n"/>
      <c r="B560" s="92" t="n"/>
      <c r="C560" s="93" t="n"/>
    </row>
    <row r="561">
      <c r="A561" s="92" t="n"/>
      <c r="B561" s="92" t="n"/>
      <c r="C561" s="93" t="n"/>
    </row>
    <row r="562">
      <c r="A562" s="92" t="n"/>
      <c r="B562" s="92" t="n"/>
      <c r="C562" s="93" t="n"/>
    </row>
    <row r="563">
      <c r="A563" s="92" t="n"/>
      <c r="B563" s="92" t="n"/>
      <c r="C563" s="93" t="n"/>
    </row>
    <row r="564">
      <c r="A564" s="92" t="n"/>
      <c r="B564" s="92" t="n"/>
      <c r="C564" s="93" t="n"/>
    </row>
    <row r="565">
      <c r="A565" s="92" t="n"/>
      <c r="B565" s="92" t="n"/>
      <c r="C565" s="93" t="n"/>
    </row>
    <row r="566">
      <c r="A566" s="92" t="n"/>
      <c r="B566" s="92" t="n"/>
      <c r="C566" s="93" t="n"/>
    </row>
    <row r="567">
      <c r="A567" s="92" t="n"/>
      <c r="B567" s="92" t="n"/>
      <c r="C567" s="93" t="n"/>
    </row>
    <row r="568">
      <c r="A568" s="92" t="n"/>
      <c r="B568" s="92" t="n"/>
      <c r="C568" s="93" t="n"/>
    </row>
    <row r="569">
      <c r="A569" s="92" t="n"/>
      <c r="B569" s="92" t="n"/>
      <c r="C569" s="93" t="n"/>
    </row>
    <row r="570">
      <c r="A570" s="92" t="n"/>
      <c r="B570" s="92" t="n"/>
      <c r="C570" s="93" t="n"/>
    </row>
    <row r="571">
      <c r="A571" s="92" t="n"/>
      <c r="B571" s="92" t="n"/>
      <c r="C571" s="93" t="n"/>
    </row>
    <row r="572">
      <c r="A572" s="92" t="n"/>
      <c r="B572" s="92" t="n"/>
      <c r="C572" s="93" t="n"/>
    </row>
    <row r="573">
      <c r="A573" s="92" t="n"/>
      <c r="B573" s="92" t="n"/>
      <c r="C573" s="93" t="n"/>
    </row>
    <row r="574">
      <c r="A574" s="92" t="n"/>
      <c r="B574" s="92" t="n"/>
      <c r="C574" s="93" t="n"/>
    </row>
    <row r="575">
      <c r="A575" s="92" t="n"/>
      <c r="B575" s="92" t="n"/>
      <c r="C575" s="93" t="n"/>
    </row>
    <row r="576">
      <c r="A576" s="92" t="n"/>
      <c r="B576" s="92" t="n"/>
      <c r="C576" s="93" t="n"/>
    </row>
    <row r="577">
      <c r="A577" s="92" t="n"/>
      <c r="B577" s="92" t="n"/>
      <c r="C577" s="93" t="n"/>
    </row>
    <row r="578">
      <c r="A578" s="92" t="n"/>
      <c r="B578" s="92" t="n"/>
      <c r="C578" s="93" t="n"/>
    </row>
    <row r="579">
      <c r="A579" s="92" t="n"/>
      <c r="B579" s="92" t="n"/>
      <c r="C579" s="93" t="n"/>
    </row>
    <row r="580">
      <c r="A580" s="92" t="n"/>
      <c r="B580" s="92" t="n"/>
      <c r="C580" s="93" t="n"/>
    </row>
    <row r="581">
      <c r="A581" s="92" t="n"/>
      <c r="B581" s="92" t="n"/>
      <c r="C581" s="93" t="n"/>
    </row>
    <row r="582">
      <c r="A582" s="92" t="n"/>
      <c r="B582" s="92" t="n"/>
      <c r="C582" s="93" t="n"/>
    </row>
    <row r="583">
      <c r="A583" s="92" t="n"/>
      <c r="B583" s="92" t="n"/>
      <c r="C583" s="93" t="n"/>
    </row>
    <row r="584">
      <c r="A584" s="92" t="n"/>
      <c r="B584" s="92" t="n"/>
      <c r="C584" s="93" t="n"/>
    </row>
    <row r="585">
      <c r="A585" s="92" t="n"/>
      <c r="B585" s="92" t="n"/>
      <c r="C585" s="93" t="n"/>
    </row>
    <row r="586">
      <c r="A586" s="92" t="n"/>
      <c r="B586" s="92" t="n"/>
      <c r="C586" s="93" t="n"/>
    </row>
    <row r="587">
      <c r="A587" s="92" t="n"/>
      <c r="B587" s="92" t="n"/>
      <c r="C587" s="93" t="n"/>
    </row>
    <row r="588">
      <c r="A588" s="92" t="n"/>
      <c r="B588" s="92" t="n"/>
      <c r="C588" s="93" t="n"/>
    </row>
    <row r="589">
      <c r="A589" s="92" t="n"/>
      <c r="B589" s="92" t="n"/>
      <c r="C589" s="93" t="n"/>
    </row>
    <row r="590">
      <c r="A590" s="92" t="n"/>
      <c r="B590" s="92" t="n"/>
      <c r="C590" s="93" t="n"/>
    </row>
    <row r="591">
      <c r="A591" s="92" t="n"/>
      <c r="B591" s="92" t="n"/>
      <c r="C591" s="93" t="n"/>
    </row>
    <row r="592">
      <c r="A592" s="92" t="n"/>
      <c r="B592" s="92" t="n"/>
      <c r="C592" s="93" t="n"/>
    </row>
    <row r="593">
      <c r="A593" s="92" t="n"/>
      <c r="B593" s="92" t="n"/>
      <c r="C593" s="93" t="n"/>
    </row>
    <row r="594">
      <c r="A594" s="92" t="n"/>
      <c r="B594" s="92" t="n"/>
      <c r="C594" s="93" t="n"/>
    </row>
    <row r="595">
      <c r="A595" s="92" t="n"/>
      <c r="B595" s="92" t="n"/>
      <c r="C595" s="93" t="n"/>
    </row>
    <row r="596">
      <c r="A596" s="92" t="n"/>
      <c r="B596" s="92" t="n"/>
      <c r="C596" s="93" t="n"/>
    </row>
    <row r="597">
      <c r="A597" s="92" t="n"/>
      <c r="B597" s="92" t="n"/>
      <c r="C597" s="93" t="n"/>
    </row>
    <row r="598">
      <c r="A598" s="92" t="n"/>
      <c r="B598" s="92" t="n"/>
      <c r="C598" s="93" t="n"/>
    </row>
    <row r="599">
      <c r="A599" s="92" t="n"/>
      <c r="B599" s="92" t="n"/>
      <c r="C599" s="93" t="n"/>
    </row>
    <row r="600">
      <c r="A600" s="92" t="n"/>
      <c r="B600" s="92" t="n"/>
      <c r="C600" s="93" t="n"/>
    </row>
    <row r="601">
      <c r="A601" s="92" t="n"/>
      <c r="B601" s="92" t="n"/>
      <c r="C601" s="93" t="n"/>
    </row>
    <row r="602">
      <c r="A602" s="92" t="n"/>
      <c r="B602" s="92" t="n"/>
      <c r="C602" s="93" t="n"/>
    </row>
    <row r="603">
      <c r="A603" s="92" t="n"/>
      <c r="B603" s="92" t="n"/>
      <c r="C603" s="93" t="n"/>
    </row>
    <row r="604">
      <c r="A604" s="92" t="n"/>
      <c r="B604" s="92" t="n"/>
      <c r="C604" s="93" t="n"/>
    </row>
    <row r="605">
      <c r="A605" s="92" t="n"/>
      <c r="B605" s="92" t="n"/>
      <c r="C605" s="93" t="n"/>
    </row>
    <row r="606">
      <c r="A606" s="92" t="n"/>
      <c r="B606" s="92" t="n"/>
      <c r="C606" s="93" t="n"/>
    </row>
    <row r="607">
      <c r="A607" s="92" t="n"/>
      <c r="B607" s="92" t="n"/>
      <c r="C607" s="93" t="n"/>
    </row>
    <row r="608">
      <c r="A608" s="92" t="n"/>
      <c r="B608" s="92" t="n"/>
      <c r="C608" s="93" t="n"/>
    </row>
    <row r="609">
      <c r="A609" s="92" t="n"/>
      <c r="B609" s="92" t="n"/>
      <c r="C609" s="93" t="n"/>
    </row>
    <row r="610">
      <c r="A610" s="92" t="n"/>
      <c r="B610" s="92" t="n"/>
      <c r="C610" s="93" t="n"/>
    </row>
    <row r="611">
      <c r="A611" s="92" t="n"/>
      <c r="B611" s="92" t="n"/>
      <c r="C611" s="93" t="n"/>
    </row>
    <row r="612">
      <c r="A612" s="92" t="n"/>
      <c r="B612" s="92" t="n"/>
      <c r="C612" s="93" t="n"/>
    </row>
    <row r="613">
      <c r="A613" s="92" t="n"/>
      <c r="B613" s="92" t="n"/>
      <c r="C613" s="93" t="n"/>
    </row>
    <row r="614">
      <c r="A614" s="92" t="n"/>
      <c r="B614" s="92" t="n"/>
      <c r="C614" s="93" t="n"/>
    </row>
    <row r="615">
      <c r="A615" s="92" t="n"/>
      <c r="B615" s="92" t="n"/>
      <c r="C615" s="93" t="n"/>
    </row>
    <row r="616">
      <c r="A616" s="92" t="n"/>
      <c r="B616" s="92" t="n"/>
      <c r="C616" s="93" t="n"/>
    </row>
    <row r="617">
      <c r="A617" s="92" t="n"/>
      <c r="B617" s="92" t="n"/>
      <c r="C617" s="93" t="n"/>
    </row>
    <row r="618">
      <c r="A618" s="92" t="n"/>
      <c r="B618" s="92" t="n"/>
      <c r="C618" s="93" t="n"/>
    </row>
    <row r="619">
      <c r="A619" s="92" t="n"/>
      <c r="B619" s="92" t="n"/>
      <c r="C619" s="93" t="n"/>
    </row>
    <row r="620">
      <c r="A620" s="92" t="n"/>
      <c r="B620" s="92" t="n"/>
      <c r="C620" s="93" t="n"/>
    </row>
    <row r="621">
      <c r="A621" s="92" t="n"/>
      <c r="B621" s="92" t="n"/>
      <c r="C621" s="93" t="n"/>
    </row>
    <row r="622">
      <c r="A622" s="92" t="n"/>
      <c r="B622" s="92" t="n"/>
      <c r="C622" s="93" t="n"/>
    </row>
    <row r="623">
      <c r="A623" s="92" t="n"/>
      <c r="B623" s="92" t="n"/>
      <c r="C623" s="93" t="n"/>
    </row>
    <row r="624">
      <c r="A624" s="92" t="n"/>
      <c r="B624" s="92" t="n"/>
      <c r="C624" s="93" t="n"/>
    </row>
    <row r="625">
      <c r="A625" s="92" t="n"/>
      <c r="B625" s="92" t="n"/>
      <c r="C625" s="93" t="n"/>
    </row>
    <row r="626">
      <c r="A626" s="92" t="n"/>
      <c r="B626" s="92" t="n"/>
      <c r="C626" s="93" t="n"/>
    </row>
    <row r="627">
      <c r="A627" s="92" t="n"/>
      <c r="B627" s="92" t="n"/>
      <c r="C627" s="93" t="n"/>
    </row>
    <row r="628">
      <c r="A628" s="92" t="n"/>
      <c r="B628" s="92" t="n"/>
      <c r="C628" s="93" t="n"/>
    </row>
    <row r="629">
      <c r="A629" s="92" t="n"/>
      <c r="B629" s="92" t="n"/>
      <c r="C629" s="93" t="n"/>
    </row>
    <row r="630">
      <c r="A630" s="92" t="n"/>
      <c r="B630" s="92" t="n"/>
      <c r="C630" s="93" t="n"/>
    </row>
    <row r="631">
      <c r="A631" s="92" t="n"/>
      <c r="B631" s="92" t="n"/>
      <c r="C631" s="93" t="n"/>
    </row>
    <row r="632">
      <c r="A632" s="92" t="n"/>
      <c r="B632" s="92" t="n"/>
      <c r="C632" s="93" t="n"/>
    </row>
    <row r="633">
      <c r="A633" s="92" t="n"/>
      <c r="B633" s="92" t="n"/>
      <c r="C633" s="93" t="n"/>
    </row>
    <row r="634">
      <c r="A634" s="92" t="n"/>
      <c r="B634" s="92" t="n"/>
      <c r="C634" s="93" t="n"/>
    </row>
    <row r="635">
      <c r="A635" s="92" t="n"/>
      <c r="B635" s="92" t="n"/>
      <c r="C635" s="93" t="n"/>
    </row>
    <row r="636">
      <c r="A636" s="92" t="n"/>
      <c r="B636" s="92" t="n"/>
      <c r="C636" s="93" t="n"/>
    </row>
    <row r="637">
      <c r="A637" s="92" t="n"/>
      <c r="B637" s="92" t="n"/>
      <c r="C637" s="93" t="n"/>
    </row>
    <row r="638">
      <c r="A638" s="92" t="n"/>
      <c r="B638" s="92" t="n"/>
      <c r="C638" s="93" t="n"/>
    </row>
    <row r="639">
      <c r="A639" s="92" t="n"/>
      <c r="B639" s="92" t="n"/>
      <c r="C639" s="93" t="n"/>
    </row>
    <row r="640">
      <c r="A640" s="92" t="n"/>
      <c r="B640" s="92" t="n"/>
      <c r="C640" s="93" t="n"/>
    </row>
    <row r="641">
      <c r="A641" s="92" t="n"/>
      <c r="B641" s="92" t="n"/>
      <c r="C641" s="93" t="n"/>
    </row>
    <row r="642">
      <c r="A642" s="92" t="n"/>
      <c r="B642" s="92" t="n"/>
      <c r="C642" s="93" t="n"/>
    </row>
    <row r="643">
      <c r="A643" s="92" t="n"/>
      <c r="B643" s="92" t="n"/>
      <c r="C643" s="93" t="n"/>
    </row>
    <row r="644">
      <c r="A644" s="92" t="n"/>
      <c r="B644" s="92" t="n"/>
      <c r="C644" s="93" t="n"/>
    </row>
    <row r="645">
      <c r="A645" s="92" t="n"/>
      <c r="B645" s="92" t="n"/>
      <c r="C645" s="93" t="n"/>
    </row>
    <row r="646">
      <c r="A646" s="92" t="n"/>
      <c r="B646" s="92" t="n"/>
      <c r="C646" s="93" t="n"/>
    </row>
    <row r="647">
      <c r="A647" s="92" t="n"/>
      <c r="B647" s="92" t="n"/>
      <c r="C647" s="93" t="n"/>
    </row>
    <row r="648">
      <c r="A648" s="92" t="n"/>
      <c r="B648" s="92" t="n"/>
      <c r="C648" s="93" t="n"/>
    </row>
    <row r="649">
      <c r="A649" s="92" t="n"/>
      <c r="B649" s="92" t="n"/>
      <c r="C649" s="93" t="n"/>
    </row>
    <row r="650">
      <c r="A650" s="92" t="n"/>
      <c r="B650" s="92" t="n"/>
      <c r="C650" s="93" t="n"/>
    </row>
    <row r="651">
      <c r="A651" s="92" t="n"/>
      <c r="B651" s="92" t="n"/>
      <c r="C651" s="93" t="n"/>
    </row>
    <row r="652">
      <c r="A652" s="92" t="n"/>
      <c r="B652" s="92" t="n"/>
      <c r="C652" s="93" t="n"/>
    </row>
    <row r="653">
      <c r="A653" s="92" t="n"/>
      <c r="B653" s="92" t="n"/>
      <c r="C653" s="93" t="n"/>
    </row>
    <row r="654">
      <c r="A654" s="92" t="n"/>
      <c r="B654" s="92" t="n"/>
      <c r="C654" s="93" t="n"/>
    </row>
    <row r="655">
      <c r="A655" s="92" t="n"/>
      <c r="B655" s="92" t="n"/>
      <c r="C655" s="93" t="n"/>
    </row>
    <row r="656">
      <c r="A656" s="92" t="n"/>
      <c r="B656" s="92" t="n"/>
      <c r="C656" s="93" t="n"/>
    </row>
    <row r="657">
      <c r="A657" s="92" t="n"/>
      <c r="B657" s="92" t="n"/>
      <c r="C657" s="93" t="n"/>
    </row>
    <row r="658">
      <c r="A658" s="92" t="n"/>
      <c r="B658" s="92" t="n"/>
      <c r="C658" s="93" t="n"/>
    </row>
    <row r="659">
      <c r="A659" s="92" t="n"/>
      <c r="B659" s="92" t="n"/>
      <c r="C659" s="93" t="n"/>
    </row>
    <row r="660">
      <c r="A660" s="92" t="n"/>
      <c r="B660" s="92" t="n"/>
      <c r="C660" s="93" t="n"/>
    </row>
    <row r="661">
      <c r="A661" s="92" t="n"/>
      <c r="B661" s="92" t="n"/>
      <c r="C661" s="93" t="n"/>
    </row>
    <row r="662">
      <c r="A662" s="92" t="n"/>
      <c r="B662" s="92" t="n"/>
      <c r="C662" s="93" t="n"/>
    </row>
    <row r="663">
      <c r="A663" s="92" t="n"/>
      <c r="B663" s="92" t="n"/>
      <c r="C663" s="93" t="n"/>
    </row>
    <row r="664">
      <c r="A664" s="92" t="n"/>
      <c r="B664" s="92" t="n"/>
      <c r="C664" s="93" t="n"/>
    </row>
    <row r="665">
      <c r="A665" s="92" t="n"/>
      <c r="B665" s="92" t="n"/>
      <c r="C665" s="93" t="n"/>
    </row>
    <row r="666">
      <c r="A666" s="92" t="n"/>
      <c r="B666" s="92" t="n"/>
      <c r="C666" s="93" t="n"/>
    </row>
    <row r="667">
      <c r="A667" s="92" t="n"/>
      <c r="B667" s="92" t="n"/>
      <c r="C667" s="93" t="n"/>
    </row>
    <row r="668">
      <c r="A668" s="92" t="n"/>
      <c r="B668" s="92" t="n"/>
      <c r="C668" s="93" t="n"/>
    </row>
    <row r="669">
      <c r="A669" s="92" t="n"/>
      <c r="B669" s="92" t="n"/>
      <c r="C669" s="93" t="n"/>
    </row>
    <row r="670">
      <c r="A670" s="92" t="n"/>
      <c r="B670" s="92" t="n"/>
      <c r="C670" s="93" t="n"/>
    </row>
    <row r="671">
      <c r="A671" s="92" t="n"/>
      <c r="B671" s="92" t="n"/>
      <c r="C671" s="93" t="n"/>
    </row>
    <row r="672">
      <c r="A672" s="92" t="n"/>
      <c r="B672" s="92" t="n"/>
      <c r="C672" s="93" t="n"/>
    </row>
    <row r="673">
      <c r="A673" s="92" t="n"/>
      <c r="B673" s="92" t="n"/>
      <c r="C673" s="93" t="n"/>
    </row>
    <row r="674">
      <c r="A674" s="92" t="n"/>
      <c r="B674" s="92" t="n"/>
      <c r="C674" s="93" t="n"/>
    </row>
    <row r="675">
      <c r="A675" s="92" t="n"/>
      <c r="B675" s="92" t="n"/>
      <c r="C675" s="93" t="n"/>
    </row>
    <row r="676">
      <c r="A676" s="92" t="n"/>
      <c r="B676" s="92" t="n"/>
      <c r="C676" s="93" t="n"/>
    </row>
    <row r="677">
      <c r="A677" s="92" t="n"/>
      <c r="B677" s="92" t="n"/>
      <c r="C677" s="93" t="n"/>
    </row>
    <row r="678">
      <c r="A678" s="92" t="n"/>
      <c r="B678" s="92" t="n"/>
      <c r="C678" s="93" t="n"/>
    </row>
    <row r="679">
      <c r="A679" s="92" t="n"/>
      <c r="B679" s="92" t="n"/>
      <c r="C679" s="93" t="n"/>
    </row>
    <row r="680">
      <c r="A680" s="92" t="n"/>
      <c r="B680" s="92" t="n"/>
      <c r="C680" s="93" t="n"/>
    </row>
    <row r="681">
      <c r="A681" s="92" t="n"/>
      <c r="B681" s="92" t="n"/>
      <c r="C681" s="93" t="n"/>
    </row>
    <row r="682">
      <c r="A682" s="92" t="n"/>
      <c r="B682" s="92" t="n"/>
      <c r="C682" s="93" t="n"/>
    </row>
    <row r="683">
      <c r="A683" s="92" t="n"/>
      <c r="B683" s="92" t="n"/>
      <c r="C683" s="93" t="n"/>
    </row>
    <row r="684">
      <c r="A684" s="92" t="n"/>
      <c r="B684" s="92" t="n"/>
      <c r="C684" s="93" t="n"/>
    </row>
    <row r="685">
      <c r="A685" s="92" t="n"/>
      <c r="B685" s="92" t="n"/>
      <c r="C685" s="93" t="n"/>
    </row>
    <row r="686">
      <c r="A686" s="92" t="n"/>
      <c r="B686" s="92" t="n"/>
      <c r="C686" s="93" t="n"/>
    </row>
    <row r="687">
      <c r="A687" s="92" t="n"/>
      <c r="B687" s="92" t="n"/>
      <c r="C687" s="93" t="n"/>
    </row>
    <row r="688">
      <c r="A688" s="92" t="n"/>
      <c r="B688" s="92" t="n"/>
      <c r="C688" s="93" t="n"/>
    </row>
    <row r="689">
      <c r="A689" s="92" t="n"/>
      <c r="B689" s="92" t="n"/>
      <c r="C689" s="93" t="n"/>
    </row>
    <row r="690">
      <c r="A690" s="92" t="n"/>
      <c r="B690" s="92" t="n"/>
      <c r="C690" s="93" t="n"/>
    </row>
    <row r="691">
      <c r="A691" s="92" t="n"/>
      <c r="B691" s="92" t="n"/>
      <c r="C691" s="93" t="n"/>
    </row>
    <row r="692">
      <c r="A692" s="92" t="n"/>
      <c r="B692" s="92" t="n"/>
      <c r="C692" s="93" t="n"/>
    </row>
    <row r="693">
      <c r="A693" s="92" t="n"/>
      <c r="B693" s="92" t="n"/>
      <c r="C693" s="93" t="n"/>
    </row>
    <row r="694">
      <c r="A694" s="92" t="n"/>
      <c r="B694" s="92" t="n"/>
      <c r="C694" s="93" t="n"/>
    </row>
    <row r="695">
      <c r="A695" s="92" t="n"/>
      <c r="B695" s="92" t="n"/>
      <c r="C695" s="93" t="n"/>
    </row>
    <row r="696">
      <c r="A696" s="92" t="n"/>
      <c r="B696" s="92" t="n"/>
      <c r="C696" s="93" t="n"/>
    </row>
    <row r="697">
      <c r="A697" s="92" t="n"/>
      <c r="B697" s="92" t="n"/>
      <c r="C697" s="93" t="n"/>
    </row>
    <row r="698">
      <c r="A698" s="92" t="n"/>
      <c r="B698" s="92" t="n"/>
      <c r="C698" s="93" t="n"/>
    </row>
    <row r="699">
      <c r="A699" s="92" t="n"/>
      <c r="B699" s="92" t="n"/>
      <c r="C699" s="93" t="n"/>
    </row>
    <row r="700">
      <c r="A700" s="92" t="n"/>
      <c r="B700" s="92" t="n"/>
      <c r="C700" s="93" t="n"/>
    </row>
    <row r="701">
      <c r="A701" s="92" t="n"/>
      <c r="B701" s="92" t="n"/>
      <c r="C701" s="93" t="n"/>
    </row>
    <row r="702">
      <c r="A702" s="92" t="n"/>
      <c r="B702" s="92" t="n"/>
      <c r="C702" s="93" t="n"/>
    </row>
    <row r="703">
      <c r="A703" s="92" t="n"/>
      <c r="B703" s="92" t="n"/>
      <c r="C703" s="93" t="n"/>
    </row>
    <row r="704">
      <c r="A704" s="92" t="n"/>
      <c r="B704" s="92" t="n"/>
      <c r="C704" s="93" t="n"/>
    </row>
    <row r="705">
      <c r="A705" s="92" t="n"/>
      <c r="B705" s="92" t="n"/>
      <c r="C705" s="93" t="n"/>
    </row>
    <row r="706">
      <c r="A706" s="92" t="n"/>
      <c r="B706" s="92" t="n"/>
      <c r="C706" s="93" t="n"/>
    </row>
    <row r="707">
      <c r="A707" s="92" t="n"/>
      <c r="B707" s="92" t="n"/>
      <c r="C707" s="93" t="n"/>
    </row>
    <row r="708">
      <c r="A708" s="92" t="n"/>
      <c r="B708" s="92" t="n"/>
      <c r="C708" s="93" t="n"/>
    </row>
    <row r="709">
      <c r="A709" s="92" t="n"/>
      <c r="B709" s="92" t="n"/>
      <c r="C709" s="93" t="n"/>
    </row>
    <row r="710">
      <c r="A710" s="92" t="n"/>
      <c r="B710" s="92" t="n"/>
      <c r="C710" s="93" t="n"/>
    </row>
    <row r="711">
      <c r="A711" s="92" t="n"/>
      <c r="B711" s="92" t="n"/>
      <c r="C711" s="93" t="n"/>
    </row>
    <row r="712">
      <c r="A712" s="92" t="n"/>
      <c r="B712" s="92" t="n"/>
      <c r="C712" s="93" t="n"/>
    </row>
    <row r="713">
      <c r="A713" s="92" t="n"/>
      <c r="B713" s="92" t="n"/>
      <c r="C713" s="93" t="n"/>
    </row>
    <row r="714">
      <c r="A714" s="92" t="n"/>
      <c r="B714" s="92" t="n"/>
      <c r="C714" s="93" t="n"/>
    </row>
    <row r="715">
      <c r="A715" s="92" t="n"/>
      <c r="B715" s="92" t="n"/>
      <c r="C715" s="93" t="n"/>
    </row>
    <row r="716">
      <c r="A716" s="92" t="n"/>
      <c r="B716" s="92" t="n"/>
      <c r="C716" s="93" t="n"/>
    </row>
    <row r="717">
      <c r="A717" s="92" t="n"/>
      <c r="B717" s="92" t="n"/>
      <c r="C717" s="93" t="n"/>
    </row>
    <row r="718">
      <c r="A718" s="92" t="n"/>
      <c r="B718" s="92" t="n"/>
      <c r="C718" s="93" t="n"/>
    </row>
    <row r="719">
      <c r="A719" s="92" t="n"/>
      <c r="B719" s="92" t="n"/>
      <c r="C719" s="93" t="n"/>
    </row>
    <row r="720">
      <c r="A720" s="92" t="n"/>
      <c r="B720" s="92" t="n"/>
      <c r="C720" s="93" t="n"/>
    </row>
    <row r="721">
      <c r="A721" s="92" t="n"/>
      <c r="B721" s="92" t="n"/>
      <c r="C721" s="93" t="n"/>
    </row>
    <row r="722">
      <c r="A722" s="92" t="n"/>
      <c r="B722" s="92" t="n"/>
      <c r="C722" s="93" t="n"/>
    </row>
    <row r="723">
      <c r="A723" s="92" t="n"/>
      <c r="B723" s="92" t="n"/>
      <c r="C723" s="93" t="n"/>
    </row>
    <row r="724">
      <c r="A724" s="92" t="n"/>
      <c r="B724" s="92" t="n"/>
      <c r="C724" s="93" t="n"/>
    </row>
    <row r="725">
      <c r="A725" s="92" t="n"/>
      <c r="B725" s="92" t="n"/>
      <c r="C725" s="93" t="n"/>
    </row>
    <row r="726">
      <c r="A726" s="92" t="n"/>
      <c r="B726" s="92" t="n"/>
      <c r="C726" s="93" t="n"/>
    </row>
    <row r="727">
      <c r="A727" s="92" t="n"/>
      <c r="B727" s="92" t="n"/>
      <c r="C727" s="93" t="n"/>
    </row>
    <row r="728">
      <c r="A728" s="92" t="n"/>
      <c r="B728" s="92" t="n"/>
      <c r="C728" s="93" t="n"/>
    </row>
    <row r="729">
      <c r="A729" s="92" t="n"/>
      <c r="B729" s="92" t="n"/>
      <c r="C729" s="93" t="n"/>
    </row>
    <row r="730">
      <c r="A730" s="92" t="n"/>
      <c r="B730" s="92" t="n"/>
      <c r="C730" s="93" t="n"/>
    </row>
    <row r="731">
      <c r="A731" s="92" t="n"/>
      <c r="B731" s="92" t="n"/>
      <c r="C731" s="93" t="n"/>
    </row>
    <row r="732">
      <c r="A732" s="92" t="n"/>
      <c r="B732" s="92" t="n"/>
      <c r="C732" s="93" t="n"/>
    </row>
    <row r="733">
      <c r="A733" s="92" t="n"/>
      <c r="B733" s="92" t="n"/>
      <c r="C733" s="93" t="n"/>
    </row>
    <row r="734">
      <c r="A734" s="92" t="n"/>
      <c r="B734" s="92" t="n"/>
      <c r="C734" s="93" t="n"/>
    </row>
    <row r="735">
      <c r="A735" s="92" t="n"/>
      <c r="B735" s="92" t="n"/>
      <c r="C735" s="93" t="n"/>
    </row>
    <row r="736">
      <c r="A736" s="92" t="n"/>
      <c r="B736" s="92" t="n"/>
      <c r="C736" s="93" t="n"/>
    </row>
    <row r="737">
      <c r="A737" s="92" t="n"/>
      <c r="B737" s="92" t="n"/>
      <c r="C737" s="93" t="n"/>
    </row>
    <row r="738">
      <c r="A738" s="92" t="n"/>
      <c r="B738" s="92" t="n"/>
      <c r="C738" s="93" t="n"/>
    </row>
    <row r="739">
      <c r="A739" s="92" t="n"/>
      <c r="B739" s="92" t="n"/>
      <c r="C739" s="93" t="n"/>
    </row>
    <row r="740">
      <c r="A740" s="92" t="n"/>
      <c r="B740" s="92" t="n"/>
      <c r="C740" s="93" t="n"/>
    </row>
    <row r="741">
      <c r="A741" s="92" t="n"/>
      <c r="B741" s="92" t="n"/>
      <c r="C741" s="93" t="n"/>
    </row>
    <row r="742">
      <c r="A742" s="92" t="n"/>
      <c r="B742" s="92" t="n"/>
      <c r="C742" s="93" t="n"/>
    </row>
    <row r="743">
      <c r="A743" s="92" t="n"/>
      <c r="B743" s="92" t="n"/>
      <c r="C743" s="93" t="n"/>
    </row>
    <row r="744">
      <c r="A744" s="92" t="n"/>
      <c r="B744" s="92" t="n"/>
      <c r="C744" s="93" t="n"/>
    </row>
    <row r="745">
      <c r="A745" s="92" t="n"/>
      <c r="B745" s="92" t="n"/>
      <c r="C745" s="93" t="n"/>
    </row>
    <row r="746">
      <c r="A746" s="92" t="n"/>
      <c r="B746" s="92" t="n"/>
      <c r="C746" s="93" t="n"/>
    </row>
    <row r="747">
      <c r="A747" s="92" t="n"/>
      <c r="B747" s="92" t="n"/>
      <c r="C747" s="93" t="n"/>
    </row>
    <row r="748">
      <c r="A748" s="92" t="n"/>
      <c r="B748" s="92" t="n"/>
      <c r="C748" s="93" t="n"/>
    </row>
    <row r="749">
      <c r="A749" s="92" t="n"/>
      <c r="B749" s="92" t="n"/>
      <c r="C749" s="93" t="n"/>
    </row>
    <row r="750">
      <c r="A750" s="92" t="n"/>
      <c r="B750" s="92" t="n"/>
      <c r="C750" s="93" t="n"/>
    </row>
    <row r="751">
      <c r="A751" s="92" t="n"/>
      <c r="B751" s="92" t="n"/>
      <c r="C751" s="93" t="n"/>
    </row>
    <row r="752">
      <c r="A752" s="92" t="n"/>
      <c r="B752" s="92" t="n"/>
      <c r="C752" s="93" t="n"/>
    </row>
    <row r="753">
      <c r="A753" s="92" t="n"/>
      <c r="B753" s="92" t="n"/>
      <c r="C753" s="93" t="n"/>
    </row>
    <row r="754">
      <c r="A754" s="92" t="n"/>
      <c r="B754" s="92" t="n"/>
      <c r="C754" s="93" t="n"/>
    </row>
    <row r="755">
      <c r="A755" s="92" t="n"/>
      <c r="B755" s="92" t="n"/>
      <c r="C755" s="93" t="n"/>
    </row>
    <row r="756">
      <c r="A756" s="92" t="n"/>
      <c r="B756" s="92" t="n"/>
      <c r="C756" s="93" t="n"/>
    </row>
    <row r="757">
      <c r="A757" s="92" t="n"/>
      <c r="B757" s="92" t="n"/>
      <c r="C757" s="93" t="n"/>
    </row>
    <row r="758">
      <c r="A758" s="92" t="n"/>
      <c r="B758" s="92" t="n"/>
      <c r="C758" s="93" t="n"/>
    </row>
    <row r="759">
      <c r="A759" s="92" t="n"/>
      <c r="B759" s="92" t="n"/>
      <c r="C759" s="93" t="n"/>
    </row>
    <row r="760">
      <c r="A760" s="92" t="n"/>
      <c r="B760" s="92" t="n"/>
      <c r="C760" s="93" t="n"/>
    </row>
    <row r="761">
      <c r="A761" s="92" t="n"/>
      <c r="B761" s="92" t="n"/>
      <c r="C761" s="93" t="n"/>
    </row>
    <row r="762">
      <c r="A762" s="92" t="n"/>
      <c r="B762" s="92" t="n"/>
      <c r="C762" s="93" t="n"/>
    </row>
    <row r="763">
      <c r="A763" s="92" t="n"/>
      <c r="B763" s="92" t="n"/>
      <c r="C763" s="93" t="n"/>
    </row>
    <row r="764">
      <c r="A764" s="92" t="n"/>
      <c r="B764" s="92" t="n"/>
      <c r="C764" s="93" t="n"/>
    </row>
    <row r="765">
      <c r="A765" s="92" t="n"/>
      <c r="B765" s="92" t="n"/>
      <c r="C765" s="93" t="n"/>
    </row>
    <row r="766">
      <c r="A766" s="92" t="n"/>
      <c r="B766" s="92" t="n"/>
      <c r="C766" s="93" t="n"/>
    </row>
    <row r="767">
      <c r="A767" s="92" t="n"/>
      <c r="B767" s="92" t="n"/>
      <c r="C767" s="93" t="n"/>
    </row>
    <row r="768">
      <c r="A768" s="92" t="n"/>
      <c r="B768" s="92" t="n"/>
      <c r="C768" s="93" t="n"/>
    </row>
    <row r="769">
      <c r="A769" s="92" t="n"/>
      <c r="B769" s="92" t="n"/>
      <c r="C769" s="93" t="n"/>
    </row>
    <row r="770">
      <c r="A770" s="92" t="n"/>
      <c r="B770" s="92" t="n"/>
      <c r="C770" s="93" t="n"/>
    </row>
    <row r="771">
      <c r="A771" s="92" t="n"/>
      <c r="B771" s="92" t="n"/>
      <c r="C771" s="93" t="n"/>
    </row>
    <row r="772">
      <c r="A772" s="92" t="n"/>
      <c r="B772" s="92" t="n"/>
      <c r="C772" s="93" t="n"/>
    </row>
    <row r="773">
      <c r="A773" s="92" t="n"/>
      <c r="B773" s="92" t="n"/>
      <c r="C773" s="93" t="n"/>
    </row>
    <row r="774">
      <c r="A774" s="92" t="n"/>
      <c r="B774" s="92" t="n"/>
      <c r="C774" s="93" t="n"/>
    </row>
    <row r="775">
      <c r="A775" s="92" t="n"/>
      <c r="B775" s="92" t="n"/>
      <c r="C775" s="93" t="n"/>
    </row>
    <row r="776">
      <c r="A776" s="92" t="n"/>
      <c r="B776" s="92" t="n"/>
      <c r="C776" s="93" t="n"/>
    </row>
    <row r="777">
      <c r="A777" s="92" t="n"/>
      <c r="B777" s="92" t="n"/>
      <c r="C777" s="93" t="n"/>
    </row>
    <row r="778">
      <c r="A778" s="92" t="n"/>
      <c r="B778" s="92" t="n"/>
      <c r="C778" s="93" t="n"/>
    </row>
    <row r="779">
      <c r="A779" s="92" t="n"/>
      <c r="B779" s="92" t="n"/>
      <c r="C779" s="93" t="n"/>
    </row>
    <row r="780">
      <c r="A780" s="92" t="n"/>
      <c r="B780" s="92" t="n"/>
      <c r="C780" s="93" t="n"/>
    </row>
    <row r="781">
      <c r="A781" s="92" t="n"/>
      <c r="B781" s="92" t="n"/>
      <c r="C781" s="93" t="n"/>
    </row>
    <row r="782">
      <c r="A782" s="92" t="n"/>
      <c r="B782" s="92" t="n"/>
      <c r="C782" s="93" t="n"/>
    </row>
    <row r="783">
      <c r="A783" s="92" t="n"/>
      <c r="B783" s="92" t="n"/>
      <c r="C783" s="93" t="n"/>
    </row>
    <row r="784">
      <c r="A784" s="92" t="n"/>
      <c r="B784" s="92" t="n"/>
      <c r="C784" s="93" t="n"/>
    </row>
    <row r="785">
      <c r="A785" s="92" t="n"/>
      <c r="B785" s="92" t="n"/>
      <c r="C785" s="93" t="n"/>
    </row>
    <row r="786">
      <c r="A786" s="92" t="n"/>
      <c r="B786" s="92" t="n"/>
      <c r="C786" s="93" t="n"/>
    </row>
    <row r="787">
      <c r="A787" s="92" t="n"/>
      <c r="B787" s="92" t="n"/>
      <c r="C787" s="93" t="n"/>
    </row>
    <row r="788">
      <c r="A788" s="92" t="n"/>
      <c r="B788" s="92" t="n"/>
      <c r="C788" s="93" t="n"/>
    </row>
    <row r="789">
      <c r="A789" s="92" t="n"/>
      <c r="B789" s="92" t="n"/>
      <c r="C789" s="93" t="n"/>
    </row>
    <row r="790">
      <c r="A790" s="92" t="n"/>
      <c r="B790" s="92" t="n"/>
      <c r="C790" s="93" t="n"/>
    </row>
    <row r="791">
      <c r="A791" s="92" t="n"/>
      <c r="B791" s="92" t="n"/>
      <c r="C791" s="93" t="n"/>
    </row>
    <row r="792">
      <c r="A792" s="92" t="n"/>
      <c r="B792" s="92" t="n"/>
      <c r="C792" s="93" t="n"/>
    </row>
    <row r="793">
      <c r="A793" s="92" t="n"/>
      <c r="B793" s="92" t="n"/>
      <c r="C793" s="93" t="n"/>
    </row>
    <row r="794">
      <c r="A794" s="92" t="n"/>
      <c r="B794" s="92" t="n"/>
      <c r="C794" s="93" t="n"/>
    </row>
    <row r="795">
      <c r="A795" s="92" t="n"/>
      <c r="B795" s="92" t="n"/>
      <c r="C795" s="93" t="n"/>
    </row>
    <row r="796">
      <c r="A796" s="92" t="n"/>
      <c r="B796" s="92" t="n"/>
      <c r="C796" s="93" t="n"/>
    </row>
    <row r="797">
      <c r="A797" s="92" t="n"/>
      <c r="B797" s="92" t="n"/>
      <c r="C797" s="93" t="n"/>
    </row>
    <row r="798">
      <c r="A798" s="92" t="n"/>
      <c r="B798" s="92" t="n"/>
      <c r="C798" s="93" t="n"/>
    </row>
    <row r="799">
      <c r="A799" s="92" t="n"/>
      <c r="B799" s="92" t="n"/>
      <c r="C799" s="93" t="n"/>
    </row>
    <row r="800">
      <c r="A800" s="92" t="n"/>
      <c r="B800" s="92" t="n"/>
      <c r="C800" s="93" t="n"/>
    </row>
    <row r="801">
      <c r="A801" s="92" t="n"/>
      <c r="B801" s="92" t="n"/>
      <c r="C801" s="93" t="n"/>
    </row>
    <row r="802">
      <c r="A802" s="92" t="n"/>
      <c r="B802" s="92" t="n"/>
      <c r="C802" s="93" t="n"/>
    </row>
    <row r="803">
      <c r="A803" s="92" t="n"/>
      <c r="B803" s="92" t="n"/>
      <c r="C803" s="93" t="n"/>
    </row>
    <row r="804">
      <c r="A804" s="92" t="n"/>
      <c r="B804" s="92" t="n"/>
      <c r="C804" s="93" t="n"/>
    </row>
    <row r="805">
      <c r="A805" s="92" t="n"/>
      <c r="B805" s="92" t="n"/>
      <c r="C805" s="93" t="n"/>
    </row>
    <row r="806">
      <c r="A806" s="92" t="n"/>
      <c r="B806" s="92" t="n"/>
      <c r="C806" s="93" t="n"/>
    </row>
    <row r="807">
      <c r="A807" s="92" t="n"/>
      <c r="B807" s="92" t="n"/>
      <c r="C807" s="93" t="n"/>
    </row>
    <row r="808">
      <c r="A808" s="92" t="n"/>
      <c r="B808" s="92" t="n"/>
      <c r="C808" s="93" t="n"/>
    </row>
    <row r="809">
      <c r="A809" s="92" t="n"/>
      <c r="B809" s="92" t="n"/>
      <c r="C809" s="93" t="n"/>
    </row>
    <row r="810">
      <c r="A810" s="92" t="n"/>
      <c r="B810" s="92" t="n"/>
      <c r="C810" s="93" t="n"/>
    </row>
    <row r="811">
      <c r="A811" s="92" t="n"/>
      <c r="B811" s="92" t="n"/>
      <c r="C811" s="93" t="n"/>
    </row>
    <row r="812">
      <c r="A812" s="92" t="n"/>
      <c r="B812" s="92" t="n"/>
      <c r="C812" s="93" t="n"/>
    </row>
    <row r="813">
      <c r="A813" s="92" t="n"/>
      <c r="B813" s="92" t="n"/>
      <c r="C813" s="93" t="n"/>
    </row>
    <row r="814">
      <c r="A814" s="92" t="n"/>
      <c r="B814" s="92" t="n"/>
      <c r="C814" s="93" t="n"/>
    </row>
    <row r="815">
      <c r="A815" s="92" t="n"/>
      <c r="B815" s="92" t="n"/>
      <c r="C815" s="93" t="n"/>
    </row>
    <row r="816">
      <c r="A816" s="92" t="n"/>
      <c r="B816" s="92" t="n"/>
      <c r="C816" s="93" t="n"/>
    </row>
    <row r="817">
      <c r="A817" s="92" t="n"/>
      <c r="B817" s="92" t="n"/>
      <c r="C817" s="93" t="n"/>
    </row>
    <row r="818">
      <c r="A818" s="92" t="n"/>
      <c r="B818" s="92" t="n"/>
      <c r="C818" s="93" t="n"/>
    </row>
    <row r="819">
      <c r="A819" s="92" t="n"/>
      <c r="B819" s="92" t="n"/>
      <c r="C819" s="93" t="n"/>
    </row>
    <row r="820">
      <c r="A820" s="92" t="n"/>
      <c r="B820" s="92" t="n"/>
      <c r="C820" s="93" t="n"/>
    </row>
    <row r="821">
      <c r="A821" s="92" t="n"/>
      <c r="B821" s="92" t="n"/>
      <c r="C821" s="93" t="n"/>
    </row>
    <row r="822">
      <c r="A822" s="92" t="n"/>
      <c r="B822" s="92" t="n"/>
      <c r="C822" s="93" t="n"/>
    </row>
    <row r="823">
      <c r="A823" s="92" t="n"/>
      <c r="B823" s="92" t="n"/>
      <c r="C823" s="93" t="n"/>
    </row>
    <row r="824">
      <c r="A824" s="92" t="n"/>
      <c r="B824" s="92" t="n"/>
      <c r="C824" s="93" t="n"/>
    </row>
    <row r="825">
      <c r="A825" s="92" t="n"/>
      <c r="B825" s="92" t="n"/>
      <c r="C825" s="93" t="n"/>
    </row>
    <row r="826">
      <c r="A826" s="92" t="n"/>
      <c r="B826" s="92" t="n"/>
      <c r="C826" s="93" t="n"/>
    </row>
    <row r="827">
      <c r="A827" s="92" t="n"/>
      <c r="B827" s="92" t="n"/>
      <c r="C827" s="93" t="n"/>
    </row>
    <row r="828">
      <c r="A828" s="92" t="n"/>
      <c r="B828" s="92" t="n"/>
      <c r="C828" s="93" t="n"/>
    </row>
    <row r="829">
      <c r="A829" s="92" t="n"/>
      <c r="B829" s="92" t="n"/>
      <c r="C829" s="93" t="n"/>
    </row>
    <row r="830">
      <c r="A830" s="92" t="n"/>
      <c r="B830" s="92" t="n"/>
      <c r="C830" s="93" t="n"/>
    </row>
    <row r="831">
      <c r="A831" s="92" t="n"/>
      <c r="B831" s="92" t="n"/>
      <c r="C831" s="93" t="n"/>
    </row>
    <row r="832">
      <c r="A832" s="92" t="n"/>
      <c r="B832" s="92" t="n"/>
      <c r="C832" s="93" t="n"/>
    </row>
    <row r="833">
      <c r="A833" s="92" t="n"/>
      <c r="B833" s="92" t="n"/>
      <c r="C833" s="93" t="n"/>
    </row>
    <row r="834">
      <c r="A834" s="92" t="n"/>
      <c r="B834" s="92" t="n"/>
      <c r="C834" s="93" t="n"/>
    </row>
    <row r="835">
      <c r="A835" s="92" t="n"/>
      <c r="B835" s="92" t="n"/>
      <c r="C835" s="93" t="n"/>
    </row>
    <row r="836">
      <c r="A836" s="92" t="n"/>
      <c r="B836" s="92" t="n"/>
      <c r="C836" s="93" t="n"/>
    </row>
    <row r="837">
      <c r="A837" s="92" t="n"/>
      <c r="B837" s="92" t="n"/>
      <c r="C837" s="93" t="n"/>
    </row>
    <row r="838">
      <c r="A838" s="92" t="n"/>
      <c r="B838" s="92" t="n"/>
      <c r="C838" s="93" t="n"/>
    </row>
    <row r="839">
      <c r="A839" s="92" t="n"/>
      <c r="B839" s="92" t="n"/>
      <c r="C839" s="93" t="n"/>
    </row>
    <row r="840">
      <c r="A840" s="92" t="n"/>
      <c r="B840" s="92" t="n"/>
      <c r="C840" s="93" t="n"/>
    </row>
    <row r="841">
      <c r="A841" s="92" t="n"/>
      <c r="B841" s="92" t="n"/>
      <c r="C841" s="93" t="n"/>
    </row>
    <row r="842">
      <c r="A842" s="92" t="n"/>
      <c r="B842" s="92" t="n"/>
      <c r="C842" s="93" t="n"/>
    </row>
    <row r="843">
      <c r="A843" s="92" t="n"/>
      <c r="B843" s="92" t="n"/>
      <c r="C843" s="93" t="n"/>
    </row>
    <row r="844">
      <c r="A844" s="92" t="n"/>
      <c r="B844" s="92" t="n"/>
      <c r="C844" s="93" t="n"/>
    </row>
    <row r="845">
      <c r="A845" s="92" t="n"/>
      <c r="B845" s="92" t="n"/>
      <c r="C845" s="93" t="n"/>
    </row>
    <row r="846">
      <c r="A846" s="92" t="n"/>
      <c r="B846" s="92" t="n"/>
      <c r="C846" s="93" t="n"/>
    </row>
    <row r="847">
      <c r="A847" s="92" t="n"/>
      <c r="B847" s="92" t="n"/>
      <c r="C847" s="93" t="n"/>
    </row>
    <row r="848">
      <c r="A848" s="92" t="n"/>
      <c r="B848" s="92" t="n"/>
      <c r="C848" s="93" t="n"/>
    </row>
    <row r="849">
      <c r="A849" s="92" t="n"/>
      <c r="B849" s="92" t="n"/>
      <c r="C849" s="93" t="n"/>
    </row>
    <row r="850">
      <c r="A850" s="92" t="n"/>
      <c r="B850" s="92" t="n"/>
      <c r="C850" s="93" t="n"/>
    </row>
    <row r="851">
      <c r="A851" s="92" t="n"/>
      <c r="B851" s="92" t="n"/>
      <c r="C851" s="93" t="n"/>
    </row>
    <row r="852">
      <c r="A852" s="92" t="n"/>
      <c r="B852" s="92" t="n"/>
      <c r="C852" s="93" t="n"/>
    </row>
    <row r="853">
      <c r="A853" s="92" t="n"/>
      <c r="B853" s="92" t="n"/>
      <c r="C853" s="93" t="n"/>
    </row>
    <row r="854">
      <c r="A854" s="92" t="n"/>
      <c r="B854" s="92" t="n"/>
      <c r="C854" s="93" t="n"/>
    </row>
    <row r="855">
      <c r="A855" s="92" t="n"/>
      <c r="B855" s="92" t="n"/>
      <c r="C855" s="93" t="n"/>
    </row>
    <row r="856">
      <c r="A856" s="92" t="n"/>
      <c r="B856" s="92" t="n"/>
      <c r="C856" s="93" t="n"/>
    </row>
    <row r="857">
      <c r="A857" s="92" t="n"/>
      <c r="B857" s="92" t="n"/>
      <c r="C857" s="93" t="n"/>
    </row>
    <row r="858">
      <c r="A858" s="92" t="n"/>
      <c r="B858" s="92" t="n"/>
      <c r="C858" s="93" t="n"/>
    </row>
    <row r="859">
      <c r="A859" s="92" t="n"/>
      <c r="B859" s="92" t="n"/>
      <c r="C859" s="93" t="n"/>
    </row>
    <row r="860">
      <c r="A860" s="92" t="n"/>
      <c r="B860" s="92" t="n"/>
      <c r="C860" s="93" t="n"/>
    </row>
    <row r="861">
      <c r="A861" s="92" t="n"/>
      <c r="B861" s="92" t="n"/>
      <c r="C861" s="93" t="n"/>
    </row>
    <row r="862">
      <c r="A862" s="92" t="n"/>
      <c r="B862" s="92" t="n"/>
      <c r="C862" s="93" t="n"/>
    </row>
    <row r="863">
      <c r="A863" s="92" t="n"/>
      <c r="B863" s="92" t="n"/>
      <c r="C863" s="93" t="n"/>
    </row>
    <row r="864">
      <c r="A864" s="92" t="n"/>
      <c r="B864" s="92" t="n"/>
      <c r="C864" s="93" t="n"/>
    </row>
    <row r="865">
      <c r="A865" s="92" t="n"/>
      <c r="B865" s="92" t="n"/>
      <c r="C865" s="93" t="n"/>
    </row>
    <row r="866">
      <c r="A866" s="92" t="n"/>
      <c r="B866" s="92" t="n"/>
      <c r="C866" s="93" t="n"/>
    </row>
    <row r="867">
      <c r="A867" s="92" t="n"/>
      <c r="B867" s="92" t="n"/>
      <c r="C867" s="93" t="n"/>
    </row>
    <row r="868">
      <c r="A868" s="92" t="n"/>
      <c r="B868" s="92" t="n"/>
      <c r="C868" s="93" t="n"/>
    </row>
    <row r="869">
      <c r="A869" s="92" t="n"/>
      <c r="B869" s="92" t="n"/>
      <c r="C869" s="93" t="n"/>
    </row>
    <row r="870">
      <c r="A870" s="92" t="n"/>
      <c r="B870" s="92" t="n"/>
      <c r="C870" s="93" t="n"/>
    </row>
    <row r="871">
      <c r="A871" s="92" t="n"/>
      <c r="B871" s="92" t="n"/>
      <c r="C871" s="93" t="n"/>
    </row>
    <row r="872">
      <c r="A872" s="92" t="n"/>
      <c r="B872" s="92" t="n"/>
      <c r="C872" s="93" t="n"/>
    </row>
    <row r="873">
      <c r="A873" s="92" t="n"/>
      <c r="B873" s="92" t="n"/>
      <c r="C873" s="93" t="n"/>
    </row>
    <row r="874">
      <c r="A874" s="92" t="n"/>
      <c r="B874" s="92" t="n"/>
      <c r="C874" s="93" t="n"/>
    </row>
    <row r="875">
      <c r="A875" s="92" t="n"/>
      <c r="B875" s="92" t="n"/>
      <c r="C875" s="93" t="n"/>
    </row>
    <row r="876">
      <c r="A876" s="92" t="n"/>
      <c r="B876" s="92" t="n"/>
      <c r="C876" s="93" t="n"/>
    </row>
    <row r="877">
      <c r="A877" s="92" t="n"/>
      <c r="B877" s="92" t="n"/>
      <c r="C877" s="93" t="n"/>
    </row>
    <row r="878">
      <c r="A878" s="92" t="n"/>
      <c r="B878" s="92" t="n"/>
      <c r="C878" s="93" t="n"/>
    </row>
    <row r="879">
      <c r="A879" s="92" t="n"/>
      <c r="B879" s="92" t="n"/>
      <c r="C879" s="93" t="n"/>
    </row>
    <row r="880">
      <c r="A880" s="92" t="n"/>
      <c r="B880" s="92" t="n"/>
      <c r="C880" s="93" t="n"/>
    </row>
    <row r="881">
      <c r="A881" s="92" t="n"/>
      <c r="B881" s="92" t="n"/>
      <c r="C881" s="93" t="n"/>
    </row>
    <row r="882">
      <c r="A882" s="92" t="n"/>
      <c r="B882" s="92" t="n"/>
      <c r="C882" s="93" t="n"/>
    </row>
    <row r="883">
      <c r="A883" s="92" t="n"/>
      <c r="B883" s="92" t="n"/>
      <c r="C883" s="93" t="n"/>
    </row>
    <row r="884">
      <c r="A884" s="92" t="n"/>
      <c r="B884" s="92" t="n"/>
      <c r="C884" s="93" t="n"/>
    </row>
    <row r="885">
      <c r="A885" s="92" t="n"/>
      <c r="B885" s="92" t="n"/>
      <c r="C885" s="93" t="n"/>
    </row>
    <row r="886">
      <c r="A886" s="92" t="n"/>
      <c r="B886" s="92" t="n"/>
      <c r="C886" s="93" t="n"/>
    </row>
    <row r="887">
      <c r="A887" s="92" t="n"/>
      <c r="B887" s="92" t="n"/>
      <c r="C887" s="93" t="n"/>
    </row>
    <row r="888">
      <c r="A888" s="92" t="n"/>
      <c r="B888" s="92" t="n"/>
      <c r="C888" s="93" t="n"/>
    </row>
    <row r="889">
      <c r="A889" s="92" t="n"/>
      <c r="B889" s="92" t="n"/>
      <c r="C889" s="93" t="n"/>
    </row>
    <row r="890">
      <c r="A890" s="92" t="n"/>
      <c r="B890" s="92" t="n"/>
      <c r="C890" s="93" t="n"/>
    </row>
    <row r="891">
      <c r="A891" s="92" t="n"/>
      <c r="B891" s="92" t="n"/>
      <c r="C891" s="93" t="n"/>
    </row>
    <row r="892">
      <c r="A892" s="92" t="n"/>
      <c r="B892" s="92" t="n"/>
      <c r="C892" s="93" t="n"/>
    </row>
    <row r="893">
      <c r="A893" s="92" t="n"/>
      <c r="B893" s="92" t="n"/>
      <c r="C893" s="93" t="n"/>
    </row>
    <row r="894">
      <c r="A894" s="92" t="n"/>
      <c r="B894" s="92" t="n"/>
      <c r="C894" s="93" t="n"/>
    </row>
    <row r="895">
      <c r="A895" s="92" t="n"/>
      <c r="B895" s="92" t="n"/>
      <c r="C895" s="93" t="n"/>
    </row>
    <row r="896">
      <c r="A896" s="92" t="n"/>
      <c r="B896" s="92" t="n"/>
      <c r="C896" s="93" t="n"/>
    </row>
    <row r="897">
      <c r="A897" s="92" t="n"/>
      <c r="B897" s="92" t="n"/>
      <c r="C897" s="93" t="n"/>
    </row>
    <row r="898">
      <c r="A898" s="92" t="n"/>
      <c r="B898" s="92" t="n"/>
      <c r="C898" s="93" t="n"/>
    </row>
    <row r="899">
      <c r="A899" s="92" t="n"/>
      <c r="B899" s="92" t="n"/>
      <c r="C899" s="93" t="n"/>
    </row>
    <row r="900">
      <c r="A900" s="92" t="n"/>
      <c r="B900" s="92" t="n"/>
      <c r="C900" s="93" t="n"/>
    </row>
    <row r="901">
      <c r="A901" s="92" t="n"/>
      <c r="B901" s="92" t="n"/>
      <c r="C901" s="93" t="n"/>
    </row>
    <row r="902">
      <c r="A902" s="92" t="n"/>
      <c r="B902" s="92" t="n"/>
      <c r="C902" s="93" t="n"/>
    </row>
    <row r="903">
      <c r="A903" s="92" t="n"/>
      <c r="B903" s="92" t="n"/>
      <c r="C903" s="93" t="n"/>
    </row>
    <row r="904">
      <c r="A904" s="92" t="n"/>
      <c r="B904" s="92" t="n"/>
      <c r="C904" s="93" t="n"/>
    </row>
    <row r="905">
      <c r="A905" s="92" t="n"/>
      <c r="B905" s="92" t="n"/>
      <c r="C905" s="93" t="n"/>
    </row>
    <row r="906">
      <c r="A906" s="92" t="n"/>
      <c r="B906" s="92" t="n"/>
      <c r="C906" s="93" t="n"/>
    </row>
    <row r="907">
      <c r="A907" s="92" t="n"/>
      <c r="B907" s="92" t="n"/>
      <c r="C907" s="93" t="n"/>
    </row>
    <row r="908">
      <c r="A908" s="92" t="n"/>
      <c r="B908" s="92" t="n"/>
      <c r="C908" s="93" t="n"/>
    </row>
    <row r="909">
      <c r="A909" s="92" t="n"/>
      <c r="B909" s="92" t="n"/>
      <c r="C909" s="93" t="n"/>
    </row>
    <row r="910">
      <c r="A910" s="92" t="n"/>
      <c r="B910" s="92" t="n"/>
      <c r="C910" s="93" t="n"/>
    </row>
    <row r="911">
      <c r="A911" s="92" t="n"/>
      <c r="B911" s="92" t="n"/>
      <c r="C911" s="93" t="n"/>
    </row>
    <row r="912">
      <c r="A912" s="92" t="n"/>
      <c r="B912" s="92" t="n"/>
      <c r="C912" s="93" t="n"/>
    </row>
    <row r="913">
      <c r="A913" s="92" t="n"/>
      <c r="B913" s="92" t="n"/>
      <c r="C913" s="93" t="n"/>
    </row>
    <row r="914">
      <c r="A914" s="92" t="n"/>
      <c r="B914" s="92" t="n"/>
      <c r="C914" s="93" t="n"/>
    </row>
    <row r="915">
      <c r="A915" s="92" t="n"/>
      <c r="B915" s="92" t="n"/>
      <c r="C915" s="93" t="n"/>
    </row>
    <row r="916">
      <c r="A916" s="92" t="n"/>
      <c r="B916" s="92" t="n"/>
      <c r="C916" s="93" t="n"/>
    </row>
    <row r="917">
      <c r="A917" s="92" t="n"/>
      <c r="B917" s="92" t="n"/>
      <c r="C917" s="93" t="n"/>
    </row>
    <row r="918">
      <c r="A918" s="92" t="n"/>
      <c r="B918" s="92" t="n"/>
      <c r="C918" s="93" t="n"/>
    </row>
    <row r="919">
      <c r="A919" s="92" t="n"/>
      <c r="B919" s="92" t="n"/>
      <c r="C919" s="93" t="n"/>
    </row>
    <row r="920">
      <c r="A920" s="92" t="n"/>
      <c r="B920" s="92" t="n"/>
      <c r="C920" s="93" t="n"/>
    </row>
    <row r="921">
      <c r="A921" s="92" t="n"/>
      <c r="B921" s="92" t="n"/>
      <c r="C921" s="93" t="n"/>
    </row>
    <row r="922">
      <c r="A922" s="92" t="n"/>
      <c r="B922" s="92" t="n"/>
      <c r="C922" s="93" t="n"/>
    </row>
    <row r="923">
      <c r="A923" s="92" t="n"/>
      <c r="B923" s="92" t="n"/>
      <c r="C923" s="93" t="n"/>
    </row>
    <row r="924">
      <c r="A924" s="92" t="n"/>
      <c r="B924" s="92" t="n"/>
      <c r="C924" s="93" t="n"/>
    </row>
    <row r="925">
      <c r="A925" s="92" t="n"/>
      <c r="B925" s="92" t="n"/>
      <c r="C925" s="93" t="n"/>
    </row>
    <row r="926">
      <c r="A926" s="92" t="n"/>
      <c r="B926" s="92" t="n"/>
      <c r="C926" s="93" t="n"/>
    </row>
    <row r="927">
      <c r="A927" s="92" t="n"/>
      <c r="B927" s="92" t="n"/>
      <c r="C927" s="93" t="n"/>
    </row>
    <row r="928">
      <c r="A928" s="92" t="n"/>
      <c r="B928" s="92" t="n"/>
      <c r="C928" s="93" t="n"/>
    </row>
    <row r="929">
      <c r="A929" s="92" t="n"/>
      <c r="B929" s="92" t="n"/>
      <c r="C929" s="93" t="n"/>
    </row>
    <row r="930">
      <c r="A930" s="92" t="n"/>
      <c r="B930" s="92" t="n"/>
      <c r="C930" s="93" t="n"/>
    </row>
    <row r="931">
      <c r="A931" s="92" t="n"/>
      <c r="B931" s="92" t="n"/>
      <c r="C931" s="93" t="n"/>
    </row>
    <row r="932">
      <c r="A932" s="92" t="n"/>
      <c r="B932" s="92" t="n"/>
      <c r="C932" s="93" t="n"/>
    </row>
    <row r="933">
      <c r="A933" s="92" t="n"/>
      <c r="B933" s="92" t="n"/>
      <c r="C933" s="93" t="n"/>
    </row>
    <row r="934">
      <c r="A934" s="92" t="n"/>
      <c r="B934" s="92" t="n"/>
      <c r="C934" s="93" t="n"/>
    </row>
    <row r="935">
      <c r="A935" s="92" t="n"/>
      <c r="B935" s="92" t="n"/>
      <c r="C935" s="93" t="n"/>
    </row>
    <row r="936">
      <c r="A936" s="92" t="n"/>
      <c r="B936" s="92" t="n"/>
      <c r="C936" s="93" t="n"/>
    </row>
    <row r="937">
      <c r="A937" s="92" t="n"/>
      <c r="B937" s="92" t="n"/>
      <c r="C937" s="93" t="n"/>
    </row>
    <row r="938">
      <c r="A938" s="92" t="n"/>
      <c r="B938" s="92" t="n"/>
      <c r="C938" s="93" t="n"/>
    </row>
    <row r="939">
      <c r="A939" s="92" t="n"/>
      <c r="B939" s="92" t="n"/>
      <c r="C939" s="93" t="n"/>
    </row>
    <row r="940">
      <c r="A940" s="92" t="n"/>
      <c r="B940" s="92" t="n"/>
      <c r="C940" s="93" t="n"/>
    </row>
    <row r="941">
      <c r="A941" s="92" t="n"/>
      <c r="B941" s="92" t="n"/>
      <c r="C941" s="93" t="n"/>
    </row>
    <row r="942">
      <c r="A942" s="92" t="n"/>
      <c r="B942" s="92" t="n"/>
      <c r="C942" s="93" t="n"/>
    </row>
    <row r="943">
      <c r="A943" s="92" t="n"/>
      <c r="B943" s="92" t="n"/>
      <c r="C943" s="93" t="n"/>
    </row>
    <row r="944">
      <c r="A944" s="92" t="n"/>
      <c r="B944" s="92" t="n"/>
      <c r="C944" s="93" t="n"/>
    </row>
    <row r="945">
      <c r="A945" s="92" t="n"/>
      <c r="B945" s="92" t="n"/>
      <c r="C945" s="93" t="n"/>
    </row>
    <row r="946">
      <c r="A946" s="92" t="n"/>
      <c r="B946" s="92" t="n"/>
      <c r="C946" s="93" t="n"/>
    </row>
    <row r="947">
      <c r="A947" s="92" t="n"/>
      <c r="B947" s="92" t="n"/>
      <c r="C947" s="93" t="n"/>
    </row>
    <row r="948">
      <c r="A948" s="92" t="n"/>
      <c r="B948" s="92" t="n"/>
      <c r="C948" s="93" t="n"/>
    </row>
    <row r="949">
      <c r="A949" s="92" t="n"/>
      <c r="B949" s="92" t="n"/>
      <c r="C949" s="93" t="n"/>
    </row>
    <row r="950">
      <c r="A950" s="92" t="n"/>
      <c r="B950" s="92" t="n"/>
      <c r="C950" s="93" t="n"/>
    </row>
    <row r="951">
      <c r="A951" s="92" t="n"/>
      <c r="B951" s="92" t="n"/>
      <c r="C951" s="93" t="n"/>
    </row>
    <row r="952">
      <c r="A952" s="92" t="n"/>
      <c r="B952" s="92" t="n"/>
      <c r="C952" s="93" t="n"/>
    </row>
    <row r="953">
      <c r="A953" s="92" t="n"/>
      <c r="B953" s="92" t="n"/>
      <c r="C953" s="93" t="n"/>
    </row>
    <row r="954">
      <c r="A954" s="92" t="n"/>
      <c r="B954" s="92" t="n"/>
      <c r="C954" s="93" t="n"/>
    </row>
    <row r="955">
      <c r="A955" s="92" t="n"/>
      <c r="B955" s="92" t="n"/>
      <c r="C955" s="93" t="n"/>
    </row>
    <row r="956">
      <c r="A956" s="92" t="n"/>
      <c r="B956" s="92" t="n"/>
      <c r="C956" s="93" t="n"/>
    </row>
    <row r="957">
      <c r="A957" s="92" t="n"/>
      <c r="B957" s="92" t="n"/>
      <c r="C957" s="93" t="n"/>
    </row>
    <row r="958">
      <c r="A958" s="92" t="n"/>
      <c r="B958" s="92" t="n"/>
      <c r="C958" s="93" t="n"/>
    </row>
    <row r="959">
      <c r="A959" s="92" t="n"/>
      <c r="B959" s="92" t="n"/>
      <c r="C959" s="93" t="n"/>
    </row>
    <row r="960">
      <c r="A960" s="92" t="n"/>
      <c r="B960" s="92" t="n"/>
      <c r="C960" s="93" t="n"/>
    </row>
    <row r="961">
      <c r="A961" s="92" t="n"/>
      <c r="B961" s="92" t="n"/>
      <c r="C961" s="93" t="n"/>
    </row>
    <row r="962">
      <c r="A962" s="92" t="n"/>
      <c r="B962" s="92" t="n"/>
      <c r="C962" s="93" t="n"/>
    </row>
    <row r="963">
      <c r="A963" s="92" t="n"/>
      <c r="B963" s="92" t="n"/>
      <c r="C963" s="93" t="n"/>
    </row>
    <row r="964">
      <c r="A964" s="92" t="n"/>
      <c r="B964" s="92" t="n"/>
      <c r="C964" s="93" t="n"/>
    </row>
    <row r="965">
      <c r="A965" s="92" t="n"/>
      <c r="B965" s="92" t="n"/>
      <c r="C965" s="93" t="n"/>
    </row>
    <row r="966">
      <c r="A966" s="92" t="n"/>
      <c r="B966" s="92" t="n"/>
      <c r="C966" s="93" t="n"/>
    </row>
    <row r="967">
      <c r="A967" s="92" t="n"/>
      <c r="B967" s="92" t="n"/>
      <c r="C967" s="93" t="n"/>
    </row>
    <row r="968">
      <c r="A968" s="92" t="n"/>
      <c r="B968" s="92" t="n"/>
      <c r="C968" s="93" t="n"/>
    </row>
    <row r="969">
      <c r="A969" s="92" t="n"/>
      <c r="B969" s="92" t="n"/>
      <c r="C969" s="93" t="n"/>
    </row>
    <row r="970">
      <c r="A970" s="92" t="n"/>
      <c r="B970" s="92" t="n"/>
      <c r="C970" s="93" t="n"/>
    </row>
    <row r="971">
      <c r="A971" s="92" t="n"/>
      <c r="B971" s="92" t="n"/>
      <c r="C971" s="93" t="n"/>
    </row>
    <row r="972">
      <c r="A972" s="92" t="n"/>
      <c r="B972" s="92" t="n"/>
      <c r="C972" s="93" t="n"/>
    </row>
    <row r="973">
      <c r="A973" s="92" t="n"/>
      <c r="B973" s="92" t="n"/>
      <c r="C973" s="93" t="n"/>
    </row>
    <row r="974">
      <c r="A974" s="92" t="n"/>
      <c r="B974" s="92" t="n"/>
      <c r="C974" s="93" t="n"/>
    </row>
    <row r="975">
      <c r="A975" s="92" t="n"/>
      <c r="B975" s="92" t="n"/>
      <c r="C975" s="93" t="n"/>
    </row>
    <row r="976">
      <c r="A976" s="92" t="n"/>
      <c r="B976" s="92" t="n"/>
      <c r="C976" s="93" t="n"/>
    </row>
    <row r="977">
      <c r="A977" s="92" t="n"/>
      <c r="B977" s="92" t="n"/>
      <c r="C977" s="93" t="n"/>
    </row>
    <row r="978">
      <c r="A978" s="92" t="n"/>
      <c r="B978" s="92" t="n"/>
      <c r="C978" s="93" t="n"/>
    </row>
    <row r="979">
      <c r="A979" s="92" t="n"/>
      <c r="B979" s="92" t="n"/>
      <c r="C979" s="93" t="n"/>
    </row>
    <row r="980">
      <c r="A980" s="92" t="n"/>
      <c r="B980" s="92" t="n"/>
      <c r="C980" s="93" t="n"/>
    </row>
    <row r="981">
      <c r="A981" s="92" t="n"/>
      <c r="B981" s="92" t="n"/>
      <c r="C981" s="93" t="n"/>
    </row>
    <row r="982">
      <c r="A982" s="92" t="n"/>
      <c r="B982" s="92" t="n"/>
      <c r="C982" s="93" t="n"/>
    </row>
    <row r="983">
      <c r="A983" s="92" t="n"/>
      <c r="B983" s="92" t="n"/>
      <c r="C983" s="93" t="n"/>
    </row>
    <row r="984">
      <c r="A984" s="92" t="n"/>
      <c r="B984" s="92" t="n"/>
      <c r="C984" s="93" t="n"/>
    </row>
    <row r="985">
      <c r="A985" s="92" t="n"/>
      <c r="B985" s="92" t="n"/>
      <c r="C985" s="93" t="n"/>
    </row>
    <row r="986">
      <c r="A986" s="92" t="n"/>
      <c r="B986" s="92" t="n"/>
      <c r="C986" s="93" t="n"/>
    </row>
    <row r="987">
      <c r="A987" s="92" t="n"/>
      <c r="B987" s="92" t="n"/>
      <c r="C987" s="93" t="n"/>
    </row>
    <row r="988">
      <c r="A988" s="92" t="n"/>
      <c r="B988" s="92" t="n"/>
      <c r="C988" s="93" t="n"/>
    </row>
    <row r="989">
      <c r="A989" s="92" t="n"/>
      <c r="B989" s="92" t="n"/>
      <c r="C989" s="93" t="n"/>
    </row>
    <row r="990">
      <c r="A990" s="92" t="n"/>
      <c r="B990" s="92" t="n"/>
      <c r="C990" s="93" t="n"/>
    </row>
    <row r="991">
      <c r="A991" s="92" t="n"/>
      <c r="B991" s="92" t="n"/>
      <c r="C991" s="93" t="n"/>
    </row>
    <row r="992">
      <c r="A992" s="92" t="n"/>
      <c r="B992" s="92" t="n"/>
      <c r="C992" s="93" t="n"/>
    </row>
    <row r="993">
      <c r="A993" s="92" t="n"/>
      <c r="B993" s="92" t="n"/>
      <c r="C993" s="93" t="n"/>
    </row>
    <row r="994">
      <c r="A994" s="92" t="n"/>
      <c r="B994" s="92" t="n"/>
      <c r="C994" s="93" t="n"/>
    </row>
    <row r="995">
      <c r="A995" s="92" t="n"/>
      <c r="B995" s="92" t="n"/>
      <c r="C995" s="93" t="n"/>
    </row>
    <row r="996">
      <c r="A996" s="92" t="n"/>
      <c r="B996" s="92" t="n"/>
      <c r="C996" s="93" t="n"/>
    </row>
    <row r="997">
      <c r="A997" s="92" t="n"/>
      <c r="B997" s="92" t="n"/>
      <c r="C997" s="9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ColWidth="14.43" defaultRowHeight="15" customHeight="1"/>
  <cols>
    <col width="42.71" customWidth="1" style="108" min="1" max="1"/>
    <col width="37.43" customWidth="1" style="108" min="2" max="2"/>
    <col width="31.29" customWidth="1" style="108" min="3" max="3"/>
    <col width="121.43" customWidth="1" style="108" min="4" max="4"/>
    <col width="8.710000000000001" customWidth="1" style="108" min="5" max="26"/>
  </cols>
  <sheetData>
    <row r="1" ht="141" customHeight="1" s="108">
      <c r="A1" s="94" t="inlineStr">
        <is>
          <t>UNIVERSIDADE FEDERAL FLUMINENSE                                                                                                                                                                                                  ESCOLA DE ENFERMAGEM AURORA DE AFONSO COSTA                                                                        
PROGRAMA PROFISSIONAL EM ENFERMAGEM ASSISTENCIAL - PPEA                                                                                                                                                                                                          AUTOAVALIAÇÃO</t>
        </is>
      </c>
    </row>
    <row r="2" ht="191.25" customHeight="1" s="108">
      <c r="A2" s="95" t="n"/>
      <c r="B2" s="114" t="n"/>
      <c r="C2" s="114" t="n"/>
      <c r="D2" s="114" t="n"/>
    </row>
    <row r="3" ht="24" customHeight="1" s="108">
      <c r="A3" s="128" t="inlineStr">
        <is>
          <t>EIXO PROGRAMA</t>
        </is>
      </c>
      <c r="B3" s="116" t="n"/>
      <c r="C3" s="116" t="n"/>
      <c r="D3" s="116" t="n"/>
    </row>
    <row r="4" ht="14.25" customHeight="1" s="108">
      <c r="A4" s="98" t="inlineStr">
        <is>
          <t>Fragilidades (F)</t>
        </is>
      </c>
      <c r="B4" s="98" t="inlineStr">
        <is>
          <t>Pontos fortes (PF)</t>
        </is>
      </c>
      <c r="C4" s="98" t="inlineStr">
        <is>
          <t>Oportunidades (O)</t>
        </is>
      </c>
      <c r="D4" s="98" t="inlineStr">
        <is>
          <t>Ameaças (A)</t>
        </is>
      </c>
    </row>
    <row r="5" ht="45.75" customHeight="1" s="108">
      <c r="A5" s="99" t="inlineStr">
        <is>
          <t>F1. Falta de sistematização das informações em relação aos projetos e pesquisas (1.1).</t>
        </is>
      </c>
      <c r="B5" s="99" t="inlineStr">
        <is>
          <t>PF1. Novo regimento (1.1)</t>
        </is>
      </c>
      <c r="C5" s="99" t="inlineStr">
        <is>
          <t>O1. Editais de apoio (1.1)</t>
        </is>
      </c>
      <c r="D5" s="101" t="inlineStr">
        <is>
          <t>A1. Mudanças na política de distribuição de verbas e de apoio aos programas (1.1)</t>
        </is>
      </c>
    </row>
    <row r="6" ht="51" customHeight="1" s="108">
      <c r="A6" s="99" t="inlineStr">
        <is>
          <t>F2. Projetos sem alinhamento com os grupos, linhas de pesquisa e diretrizes estratégicas do programa (1.1)</t>
        </is>
      </c>
      <c r="B6" s="99" t="inlineStr">
        <is>
          <t>PF2. Adequação de linhas e produtos (1.1)</t>
        </is>
      </c>
      <c r="C6" s="99" t="inlineStr">
        <is>
          <t>O2. Aproximação com empresas (1.1)</t>
        </is>
      </c>
      <c r="D6" s="120" t="n"/>
    </row>
    <row r="7" ht="48" customHeight="1" s="108">
      <c r="A7" s="99" t="inlineStr">
        <is>
          <t>F3. Necessidade de formalizar laboratórios (1.1)</t>
        </is>
      </c>
      <c r="B7" s="99" t="inlineStr">
        <is>
          <t>PF3. Reestruturação curricular recente (1.1)</t>
        </is>
      </c>
      <c r="C7" s="99" t="inlineStr">
        <is>
          <t>O3. Possibilidade de parcerias com outras instituições acadêmicas (1.1)</t>
        </is>
      </c>
      <c r="D7" s="120" t="n"/>
    </row>
    <row r="8" ht="50.25" customHeight="1" s="108">
      <c r="A8" s="99" t="inlineStr">
        <is>
          <t>F4. Poucos laboratórios (1.1)</t>
        </is>
      </c>
      <c r="B8" s="99" t="inlineStr">
        <is>
          <t>PF4. Aderência à modalidade profissional (1.1)</t>
        </is>
      </c>
      <c r="C8" s="99" t="inlineStr">
        <is>
          <t>O4. Possibilidade de formação de redes e maior integração das áreas da Saúde da UFF (1.1)</t>
        </is>
      </c>
      <c r="D8" s="120" t="n"/>
    </row>
    <row r="9" ht="40.5" customHeight="1" s="108">
      <c r="A9" s="99" t="inlineStr">
        <is>
          <t xml:space="preserve">F5. Infraestrutura das instalações (1.1) </t>
        </is>
      </c>
      <c r="B9" s="99" t="inlineStr">
        <is>
          <t>PF5. Integração com outras áreas (1.1)</t>
        </is>
      </c>
      <c r="C9" s="99" t="inlineStr">
        <is>
          <t>O4. Fusão com outro programa (1.1)</t>
        </is>
      </c>
      <c r="D9" s="120" t="n"/>
    </row>
    <row r="10" ht="48" customHeight="1" s="108">
      <c r="A10" s="101" t="inlineStr">
        <is>
          <t xml:space="preserve">F6. Ausência de projeto único para cada programa – no caso de docentes que participam de mais de um programa (1.1) </t>
        </is>
      </c>
      <c r="B10" s="102" t="n"/>
      <c r="C10" s="103" t="n"/>
      <c r="D10" s="120" t="n"/>
    </row>
    <row r="11" ht="14.25" customHeight="1" s="108">
      <c r="A11" s="99" t="inlineStr">
        <is>
          <t>F7.  Docentes em dois programas (1.2)</t>
        </is>
      </c>
      <c r="B11" s="99" t="inlineStr">
        <is>
          <t>PF6. Inclusão de credenciamento / descredenciamento com regras claras (1.2)</t>
        </is>
      </c>
      <c r="C11" s="99" t="inlineStr">
        <is>
          <t>O5. Ações de capacitação e sensibilização docente (1.2)</t>
        </is>
      </c>
      <c r="D11" s="99" t="inlineStr">
        <is>
          <t>A2. Mudança na política de avaliação da CAPES</t>
        </is>
      </c>
    </row>
    <row r="12" ht="14.25" customHeight="1" s="108">
      <c r="A12" s="99" t="inlineStr">
        <is>
          <t>F8. Necessidade de maior engajamento dos docentes permanentes (1.2)</t>
        </is>
      </c>
      <c r="B12" s="99" t="inlineStr">
        <is>
          <t xml:space="preserve">PF7. Forte participação dos docentes colaboradores (1.2) </t>
        </is>
      </c>
      <c r="C12" s="99" t="inlineStr">
        <is>
          <t>O6. Parceria com a AGIR, Instituto da computacao e empreendedorismo</t>
        </is>
      </c>
      <c r="D12" s="99" t="inlineStr">
        <is>
          <t xml:space="preserve">A3. Corte de recursos federais </t>
        </is>
      </c>
    </row>
    <row r="13" ht="14.25" customHeight="1" s="108">
      <c r="A13" s="99" t="inlineStr">
        <is>
          <t xml:space="preserve">F.9 Ausência atual de planejamento estratégico  </t>
        </is>
      </c>
      <c r="B13" s="99" t="inlineStr">
        <is>
          <t>PF8. Realização de oficinas docentes para o planejamento estratégico</t>
        </is>
      </c>
      <c r="C13" s="105" t="n"/>
      <c r="D13" s="105" t="n"/>
    </row>
    <row r="14" ht="14.25" customHeight="1" s="108">
      <c r="A14" s="99" t="inlineStr">
        <is>
          <t xml:space="preserve">F. 10 Falta de cultura da participação docente no planejamento estratégico </t>
        </is>
      </c>
      <c r="B14" s="99" t="inlineStr">
        <is>
          <t xml:space="preserve">PF9. Definição de critérios docentes </t>
        </is>
      </c>
      <c r="C14" s="105" t="n"/>
      <c r="D14" s="105" t="n"/>
    </row>
    <row r="15" ht="14.25" customHeight="1" s="108">
      <c r="A15" s="99" t="inlineStr">
        <is>
          <t xml:space="preserve">F.11 Falta de continuidade no plano de gestão </t>
        </is>
      </c>
      <c r="B15" s="99" t="inlineStr">
        <is>
          <t>PF10. Comissões do programa para acompanhamento dos prazos de docentes e discentes</t>
        </is>
      </c>
      <c r="C15" s="105" t="n"/>
      <c r="D15" s="105" t="n"/>
    </row>
    <row r="16" ht="14.25" customHeight="1" s="108">
      <c r="A16" s="99" t="inlineStr">
        <is>
          <t>F.12 Falta de cultura de planejamento estratégico na própria Instituição (escola)</t>
        </is>
      </c>
      <c r="B16" s="99" t="inlineStr">
        <is>
          <t>PF11. Encontro de egressos</t>
        </is>
      </c>
      <c r="C16" s="105" t="n"/>
      <c r="D16" s="105" t="n"/>
    </row>
    <row r="17" ht="14.25" customHeight="1" s="108">
      <c r="A17" s="99" t="inlineStr">
        <is>
          <t>F13. Falta de indicadores, metas e estratégias para avaliação docente e discente</t>
        </is>
      </c>
      <c r="B17" s="99" t="inlineStr">
        <is>
          <t>PF12. Inserção de jovens doutores</t>
        </is>
      </c>
      <c r="C17" s="105" t="n"/>
      <c r="D17" s="105" t="n"/>
    </row>
    <row r="18" ht="14.25" customHeight="1" s="108">
      <c r="A18" s="99" t="inlineStr">
        <is>
          <t>F14. Descrever melhor o uso de metodologias ativas usadas pelos docentes</t>
        </is>
      </c>
      <c r="B18" s="99" t="inlineStr">
        <is>
          <t xml:space="preserve">PF13. Avaliação do próprio programa pelos discente e docente  </t>
        </is>
      </c>
      <c r="C18" s="105" t="n"/>
      <c r="D18" s="105" t="n"/>
    </row>
    <row r="19" ht="14.25" customHeight="1" s="108">
      <c r="A19" s="106" t="n"/>
      <c r="B19" s="107" t="inlineStr">
        <is>
          <t xml:space="preserve">PF14. 10 Metas da gestão do MPEA </t>
        </is>
      </c>
      <c r="C19" s="106" t="n"/>
      <c r="D19" s="106" t="n"/>
    </row>
    <row r="20" ht="14.25" customHeight="1" s="108">
      <c r="A20" s="106" t="n"/>
      <c r="B20" s="107" t="inlineStr">
        <is>
          <t xml:space="preserve">PF15. Empreendedorismo e patentes </t>
        </is>
      </c>
      <c r="C20" s="106" t="n"/>
      <c r="D20" s="106" t="n"/>
    </row>
    <row r="21" ht="14.25" customHeight="1" s="108"/>
    <row r="22" ht="14.25" customHeight="1" s="108"/>
    <row r="23" ht="14.25" customHeight="1" s="108"/>
    <row r="24" ht="14.25" customHeight="1" s="108"/>
    <row r="25" ht="14.25" customHeight="1" s="108"/>
    <row r="26" ht="14.25" customHeight="1" s="108"/>
    <row r="27" ht="14.25" customHeight="1" s="108"/>
    <row r="28" ht="14.25" customHeight="1" s="108"/>
    <row r="29" ht="14.25" customHeight="1" s="108"/>
    <row r="30" ht="14.25" customHeight="1" s="108"/>
    <row r="31" ht="14.25" customHeight="1" s="108"/>
    <row r="32" ht="14.25" customHeight="1" s="108"/>
    <row r="33" ht="14.25" customHeight="1" s="108"/>
    <row r="34" ht="14.25" customHeight="1" s="108"/>
    <row r="35" ht="14.25" customHeight="1" s="108"/>
    <row r="36" ht="14.25" customHeight="1" s="108"/>
    <row r="37" ht="14.25" customHeight="1" s="108"/>
    <row r="38" ht="14.25" customHeight="1" s="108"/>
    <row r="39" ht="14.25" customHeight="1" s="108"/>
    <row r="40" ht="14.25" customHeight="1" s="108"/>
    <row r="41" ht="14.25" customHeight="1" s="108"/>
    <row r="42" ht="14.25" customHeight="1" s="108"/>
    <row r="43" ht="14.25" customHeight="1" s="108"/>
    <row r="44" ht="14.25" customHeight="1" s="108"/>
    <row r="45" ht="14.25" customHeight="1" s="108"/>
    <row r="46" ht="14.25" customHeight="1" s="108"/>
    <row r="47" ht="14.25" customHeight="1" s="108"/>
    <row r="48" ht="14.25" customHeight="1" s="108"/>
    <row r="49" ht="14.25" customHeight="1" s="108"/>
    <row r="50" ht="14.25" customHeight="1" s="108"/>
    <row r="51" ht="14.25" customHeight="1" s="108"/>
    <row r="52" ht="14.25" customHeight="1" s="108"/>
    <row r="53" ht="14.25" customHeight="1" s="108"/>
    <row r="54" ht="14.25" customHeight="1" s="108"/>
    <row r="55" ht="14.25" customHeight="1" s="108"/>
    <row r="56" ht="14.25" customHeight="1" s="108"/>
    <row r="57" ht="14.25" customHeight="1" s="108"/>
    <row r="58" ht="14.25" customHeight="1" s="108"/>
    <row r="59" ht="14.25" customHeight="1" s="108"/>
    <row r="60" ht="14.25" customHeight="1" s="108"/>
    <row r="61" ht="14.25" customHeight="1" s="108"/>
    <row r="62" ht="14.25" customHeight="1" s="108"/>
    <row r="63" ht="14.25" customHeight="1" s="108"/>
    <row r="64" ht="14.25" customHeight="1" s="108"/>
    <row r="65" ht="14.25" customHeight="1" s="108"/>
    <row r="66" ht="14.25" customHeight="1" s="108"/>
    <row r="67" ht="14.25" customHeight="1" s="108"/>
    <row r="68" ht="14.25" customHeight="1" s="108"/>
    <row r="69" ht="14.25" customHeight="1" s="108"/>
    <row r="70" ht="14.25" customHeight="1" s="108"/>
    <row r="71" ht="14.25" customHeight="1" s="108"/>
    <row r="72" ht="14.25" customHeight="1" s="108"/>
    <row r="73" ht="14.25" customHeight="1" s="108"/>
    <row r="74" ht="14.25" customHeight="1" s="108"/>
    <row r="75" ht="14.25" customHeight="1" s="108"/>
    <row r="76" ht="14.25" customHeight="1" s="108"/>
    <row r="77" ht="14.25" customHeight="1" s="108"/>
    <row r="78" ht="14.25" customHeight="1" s="108"/>
    <row r="79" ht="14.25" customHeight="1" s="108"/>
    <row r="80" ht="14.25" customHeight="1" s="108"/>
    <row r="81" ht="14.25" customHeight="1" s="108"/>
    <row r="82" ht="14.25" customHeight="1" s="108"/>
    <row r="83" ht="14.25" customHeight="1" s="108"/>
    <row r="84" ht="14.25" customHeight="1" s="108"/>
    <row r="85" ht="14.25" customHeight="1" s="108"/>
    <row r="86" ht="14.25" customHeight="1" s="108"/>
    <row r="87" ht="14.25" customHeight="1" s="108"/>
    <row r="88" ht="14.25" customHeight="1" s="108"/>
    <row r="89" ht="14.25" customHeight="1" s="108"/>
    <row r="90" ht="14.25" customHeight="1" s="108"/>
    <row r="91" ht="14.25" customHeight="1" s="108"/>
    <row r="92" ht="14.25" customHeight="1" s="108"/>
    <row r="93" ht="14.25" customHeight="1" s="108"/>
    <row r="94" ht="14.25" customHeight="1" s="108"/>
    <row r="95" ht="14.25" customHeight="1" s="108"/>
    <row r="96" ht="14.25" customHeight="1" s="108"/>
    <row r="97" ht="14.25" customHeight="1" s="108"/>
    <row r="98" ht="14.25" customHeight="1" s="108"/>
    <row r="99" ht="14.25" customHeight="1" s="108"/>
    <row r="100" ht="14.25" customHeight="1" s="108"/>
    <row r="101" ht="14.25" customHeight="1" s="108"/>
    <row r="102" ht="14.25" customHeight="1" s="108"/>
    <row r="103" ht="14.25" customHeight="1" s="108"/>
    <row r="104" ht="14.25" customHeight="1" s="108"/>
    <row r="105" ht="14.25" customHeight="1" s="108"/>
    <row r="106" ht="14.25" customHeight="1" s="108"/>
    <row r="107" ht="14.25" customHeight="1" s="108"/>
    <row r="108" ht="14.25" customHeight="1" s="108"/>
    <row r="109" ht="14.25" customHeight="1" s="108"/>
    <row r="110" ht="14.25" customHeight="1" s="108"/>
    <row r="111" ht="14.25" customHeight="1" s="108"/>
    <row r="112" ht="14.25" customHeight="1" s="108"/>
    <row r="113" ht="14.25" customHeight="1" s="108"/>
    <row r="114" ht="14.25" customHeight="1" s="108"/>
    <row r="115" ht="14.25" customHeight="1" s="108"/>
    <row r="116" ht="14.25" customHeight="1" s="108"/>
    <row r="117" ht="14.25" customHeight="1" s="108"/>
    <row r="118" ht="14.25" customHeight="1" s="108"/>
    <row r="119" ht="14.25" customHeight="1" s="108"/>
    <row r="120" ht="14.25" customHeight="1" s="108"/>
    <row r="121" ht="14.25" customHeight="1" s="108"/>
    <row r="122" ht="14.25" customHeight="1" s="108"/>
    <row r="123" ht="14.25" customHeight="1" s="108"/>
    <row r="124" ht="14.25" customHeight="1" s="108"/>
    <row r="125" ht="14.25" customHeight="1" s="108"/>
    <row r="126" ht="14.25" customHeight="1" s="108"/>
    <row r="127" ht="14.25" customHeight="1" s="108"/>
    <row r="128" ht="14.25" customHeight="1" s="108"/>
    <row r="129" ht="14.25" customHeight="1" s="108"/>
    <row r="130" ht="14.25" customHeight="1" s="108"/>
    <row r="131" ht="14.25" customHeight="1" s="108"/>
    <row r="132" ht="14.25" customHeight="1" s="108"/>
    <row r="133" ht="14.25" customHeight="1" s="108"/>
    <row r="134" ht="14.25" customHeight="1" s="108"/>
    <row r="135" ht="14.25" customHeight="1" s="108"/>
    <row r="136" ht="14.25" customHeight="1" s="108"/>
    <row r="137" ht="14.25" customHeight="1" s="108"/>
    <row r="138" ht="14.25" customHeight="1" s="108"/>
    <row r="139" ht="14.25" customHeight="1" s="108"/>
    <row r="140" ht="14.25" customHeight="1" s="108"/>
    <row r="141" ht="14.25" customHeight="1" s="108"/>
    <row r="142" ht="14.25" customHeight="1" s="108"/>
    <row r="143" ht="14.25" customHeight="1" s="108"/>
    <row r="144" ht="14.25" customHeight="1" s="108"/>
    <row r="145" ht="14.25" customHeight="1" s="108"/>
    <row r="146" ht="14.25" customHeight="1" s="108"/>
    <row r="147" ht="14.25" customHeight="1" s="108"/>
    <row r="148" ht="14.25" customHeight="1" s="108"/>
    <row r="149" ht="14.25" customHeight="1" s="108"/>
    <row r="150" ht="14.25" customHeight="1" s="108"/>
    <row r="151" ht="14.25" customHeight="1" s="108"/>
    <row r="152" ht="14.25" customHeight="1" s="108"/>
    <row r="153" ht="14.25" customHeight="1" s="108"/>
    <row r="154" ht="14.25" customHeight="1" s="108"/>
    <row r="155" ht="14.25" customHeight="1" s="108"/>
    <row r="156" ht="14.25" customHeight="1" s="108"/>
    <row r="157" ht="14.25" customHeight="1" s="108"/>
    <row r="158" ht="14.25" customHeight="1" s="108"/>
    <row r="159" ht="14.25" customHeight="1" s="108"/>
    <row r="160" ht="14.25" customHeight="1" s="108"/>
    <row r="161" ht="14.25" customHeight="1" s="108"/>
    <row r="162" ht="14.25" customHeight="1" s="108"/>
    <row r="163" ht="14.25" customHeight="1" s="108"/>
    <row r="164" ht="14.25" customHeight="1" s="108"/>
    <row r="165" ht="14.25" customHeight="1" s="108"/>
    <row r="166" ht="14.25" customHeight="1" s="108"/>
    <row r="167" ht="14.25" customHeight="1" s="108"/>
    <row r="168" ht="14.25" customHeight="1" s="108"/>
    <row r="169" ht="14.25" customHeight="1" s="108"/>
    <row r="170" ht="14.25" customHeight="1" s="108"/>
    <row r="171" ht="14.25" customHeight="1" s="108"/>
    <row r="172" ht="14.25" customHeight="1" s="108"/>
    <row r="173" ht="14.25" customHeight="1" s="108"/>
    <row r="174" ht="14.25" customHeight="1" s="108"/>
    <row r="175" ht="14.25" customHeight="1" s="108"/>
    <row r="176" ht="14.25" customHeight="1" s="108"/>
    <row r="177" ht="14.25" customHeight="1" s="108"/>
    <row r="178" ht="14.25" customHeight="1" s="108"/>
    <row r="179" ht="14.25" customHeight="1" s="108"/>
    <row r="180" ht="14.25" customHeight="1" s="108"/>
    <row r="181" ht="14.25" customHeight="1" s="108"/>
    <row r="182" ht="14.25" customHeight="1" s="108"/>
    <row r="183" ht="14.25" customHeight="1" s="108"/>
    <row r="184" ht="14.25" customHeight="1" s="108"/>
    <row r="185" ht="14.25" customHeight="1" s="108"/>
    <row r="186" ht="14.25" customHeight="1" s="108"/>
    <row r="187" ht="14.25" customHeight="1" s="108"/>
    <row r="188" ht="14.25" customHeight="1" s="108"/>
    <row r="189" ht="14.25" customHeight="1" s="108"/>
    <row r="190" ht="14.25" customHeight="1" s="108"/>
    <row r="191" ht="14.25" customHeight="1" s="108"/>
    <row r="192" ht="14.25" customHeight="1" s="108"/>
    <row r="193" ht="14.25" customHeight="1" s="108"/>
    <row r="194" ht="14.25" customHeight="1" s="108"/>
    <row r="195" ht="14.25" customHeight="1" s="108"/>
    <row r="196" ht="14.25" customHeight="1" s="108"/>
    <row r="197" ht="14.25" customHeight="1" s="108"/>
    <row r="198" ht="14.25" customHeight="1" s="108"/>
    <row r="199" ht="14.25" customHeight="1" s="108"/>
    <row r="200" ht="14.25" customHeight="1" s="108"/>
    <row r="201" ht="14.25" customHeight="1" s="108"/>
    <row r="202" ht="14.25" customHeight="1" s="108"/>
    <row r="203" ht="14.25" customHeight="1" s="108"/>
    <row r="204" ht="14.25" customHeight="1" s="108"/>
    <row r="205" ht="14.25" customHeight="1" s="108"/>
    <row r="206" ht="14.25" customHeight="1" s="108"/>
    <row r="207" ht="14.25" customHeight="1" s="108"/>
    <row r="208" ht="14.25" customHeight="1" s="108"/>
    <row r="209" ht="14.25" customHeight="1" s="108"/>
    <row r="210" ht="14.25" customHeight="1" s="108"/>
    <row r="211" ht="14.25" customHeight="1" s="108"/>
    <row r="212" ht="14.25" customHeight="1" s="108"/>
    <row r="213" ht="14.25" customHeight="1" s="108"/>
    <row r="214" ht="14.25" customHeight="1" s="108"/>
    <row r="215" ht="14.25" customHeight="1" s="108"/>
    <row r="216" ht="14.25" customHeight="1" s="108"/>
    <row r="217" ht="14.25" customHeight="1" s="108"/>
    <row r="218" ht="14.25" customHeight="1" s="108"/>
    <row r="219" ht="14.25" customHeight="1" s="108"/>
    <row r="220" ht="14.25" customHeight="1" s="108"/>
    <row r="221" ht="14.25" customHeight="1" s="108"/>
    <row r="222" ht="14.25" customHeight="1" s="108"/>
    <row r="223" ht="14.25" customHeight="1" s="108"/>
    <row r="224" ht="14.25" customHeight="1" s="108"/>
    <row r="225" ht="14.25" customHeight="1" s="108"/>
    <row r="226" ht="14.25" customHeight="1" s="108"/>
    <row r="227" ht="14.25" customHeight="1" s="108"/>
    <row r="228" ht="14.25" customHeight="1" s="108"/>
    <row r="229" ht="14.25" customHeight="1" s="108"/>
    <row r="230" ht="14.25" customHeight="1" s="108"/>
    <row r="231" ht="14.25" customHeight="1" s="108"/>
    <row r="232" ht="14.25" customHeight="1" s="108"/>
    <row r="233" ht="14.25" customHeight="1" s="108"/>
    <row r="234" ht="14.25" customHeight="1" s="108"/>
    <row r="235" ht="14.25" customHeight="1" s="108"/>
    <row r="236" ht="14.25" customHeight="1" s="108"/>
    <row r="237" ht="14.25" customHeight="1" s="108"/>
    <row r="238" ht="14.25" customHeight="1" s="108"/>
    <row r="239" ht="14.25" customHeight="1" s="108"/>
    <row r="240" ht="14.25" customHeight="1" s="108"/>
    <row r="241" ht="14.25" customHeight="1" s="108"/>
    <row r="242" ht="14.25" customHeight="1" s="108"/>
    <row r="243" ht="14.25" customHeight="1" s="108"/>
    <row r="244" ht="14.25" customHeight="1" s="108"/>
    <row r="245" ht="14.25" customHeight="1" s="108"/>
    <row r="246" ht="14.25" customHeight="1" s="108"/>
    <row r="247" ht="14.25" customHeight="1" s="108"/>
    <row r="248" ht="14.25" customHeight="1" s="108"/>
    <row r="249" ht="14.25" customHeight="1" s="108"/>
    <row r="250" ht="14.25" customHeight="1" s="108"/>
    <row r="251" ht="14.25" customHeight="1" s="108"/>
    <row r="252" ht="14.25" customHeight="1" s="108"/>
    <row r="253" ht="14.25" customHeight="1" s="108"/>
    <row r="254" ht="14.25" customHeight="1" s="108"/>
    <row r="255" ht="14.25" customHeight="1" s="108"/>
    <row r="256" ht="14.25" customHeight="1" s="108"/>
    <row r="257" ht="14.25" customHeight="1" s="108"/>
    <row r="258" ht="14.25" customHeight="1" s="108"/>
    <row r="259" ht="14.25" customHeight="1" s="108"/>
    <row r="260" ht="14.25" customHeight="1" s="108"/>
    <row r="261" ht="14.25" customHeight="1" s="108"/>
    <row r="262" ht="14.25" customHeight="1" s="108"/>
    <row r="263" ht="14.25" customHeight="1" s="108"/>
    <row r="264" ht="14.25" customHeight="1" s="108"/>
    <row r="265" ht="14.25" customHeight="1" s="108"/>
    <row r="266" ht="14.25" customHeight="1" s="108"/>
    <row r="267" ht="14.25" customHeight="1" s="108"/>
    <row r="268" ht="14.25" customHeight="1" s="108"/>
    <row r="269" ht="14.25" customHeight="1" s="108"/>
    <row r="270" ht="14.25" customHeight="1" s="108"/>
    <row r="271" ht="14.25" customHeight="1" s="108"/>
    <row r="272" ht="14.25" customHeight="1" s="108"/>
    <row r="273" ht="14.25" customHeight="1" s="108"/>
    <row r="274" ht="14.25" customHeight="1" s="108"/>
    <row r="275" ht="14.25" customHeight="1" s="108"/>
    <row r="276" ht="14.25" customHeight="1" s="108"/>
    <row r="277" ht="14.25" customHeight="1" s="108"/>
    <row r="278" ht="14.25" customHeight="1" s="108"/>
    <row r="279" ht="14.25" customHeight="1" s="108"/>
    <row r="280" ht="14.25" customHeight="1" s="108"/>
    <row r="281" ht="14.25" customHeight="1" s="108"/>
    <row r="282" ht="14.25" customHeight="1" s="108"/>
    <row r="283" ht="14.25" customHeight="1" s="108"/>
    <row r="284" ht="14.25" customHeight="1" s="108"/>
    <row r="285" ht="14.25" customHeight="1" s="108"/>
    <row r="286" ht="14.25" customHeight="1" s="108"/>
    <row r="287" ht="14.25" customHeight="1" s="108"/>
    <row r="288" ht="14.25" customHeight="1" s="108"/>
    <row r="289" ht="14.25" customHeight="1" s="108"/>
    <row r="290" ht="14.25" customHeight="1" s="108"/>
    <row r="291" ht="14.25" customHeight="1" s="108"/>
    <row r="292" ht="14.25" customHeight="1" s="108"/>
    <row r="293" ht="14.25" customHeight="1" s="108"/>
    <row r="294" ht="14.25" customHeight="1" s="108"/>
    <row r="295" ht="14.25" customHeight="1" s="108"/>
    <row r="296" ht="14.25" customHeight="1" s="108"/>
    <row r="297" ht="14.25" customHeight="1" s="108"/>
    <row r="298" ht="14.25" customHeight="1" s="108"/>
    <row r="299" ht="14.25" customHeight="1" s="108"/>
    <row r="300" ht="14.25" customHeight="1" s="108"/>
    <row r="301" ht="14.25" customHeight="1" s="108"/>
    <row r="302" ht="14.25" customHeight="1" s="108"/>
    <row r="303" ht="14.25" customHeight="1" s="108"/>
    <row r="304" ht="14.25" customHeight="1" s="108"/>
    <row r="305" ht="14.25" customHeight="1" s="108"/>
    <row r="306" ht="14.25" customHeight="1" s="108"/>
    <row r="307" ht="14.25" customHeight="1" s="108"/>
    <row r="308" ht="14.25" customHeight="1" s="108"/>
    <row r="309" ht="14.25" customHeight="1" s="108"/>
    <row r="310" ht="14.25" customHeight="1" s="108"/>
    <row r="311" ht="14.25" customHeight="1" s="108"/>
    <row r="312" ht="14.25" customHeight="1" s="108"/>
    <row r="313" ht="14.25" customHeight="1" s="108"/>
    <row r="314" ht="14.25" customHeight="1" s="108"/>
    <row r="315" ht="14.25" customHeight="1" s="108"/>
    <row r="316" ht="14.25" customHeight="1" s="108"/>
    <row r="317" ht="14.25" customHeight="1" s="108"/>
    <row r="318" ht="14.25" customHeight="1" s="108"/>
    <row r="319" ht="14.25" customHeight="1" s="108"/>
    <row r="320" ht="14.25" customHeight="1" s="108"/>
    <row r="321" ht="14.25" customHeight="1" s="108"/>
    <row r="322" ht="14.25" customHeight="1" s="108"/>
    <row r="323" ht="14.25" customHeight="1" s="108"/>
    <row r="324" ht="14.25" customHeight="1" s="108"/>
    <row r="325" ht="14.25" customHeight="1" s="108"/>
    <row r="326" ht="14.25" customHeight="1" s="108"/>
    <row r="327" ht="14.25" customHeight="1" s="108"/>
    <row r="328" ht="14.25" customHeight="1" s="108"/>
    <row r="329" ht="14.25" customHeight="1" s="108"/>
    <row r="330" ht="14.25" customHeight="1" s="108"/>
    <row r="331" ht="14.25" customHeight="1" s="108"/>
    <row r="332" ht="14.25" customHeight="1" s="108"/>
    <row r="333" ht="14.25" customHeight="1" s="108"/>
    <row r="334" ht="14.25" customHeight="1" s="108"/>
    <row r="335" ht="14.25" customHeight="1" s="108"/>
    <row r="336" ht="14.25" customHeight="1" s="108"/>
    <row r="337" ht="14.25" customHeight="1" s="108"/>
    <row r="338" ht="14.25" customHeight="1" s="108"/>
    <row r="339" ht="14.25" customHeight="1" s="108"/>
    <row r="340" ht="14.25" customHeight="1" s="108"/>
    <row r="341" ht="14.25" customHeight="1" s="108"/>
    <row r="342" ht="14.25" customHeight="1" s="108"/>
    <row r="343" ht="14.25" customHeight="1" s="108"/>
    <row r="344" ht="14.25" customHeight="1" s="108"/>
    <row r="345" ht="14.25" customHeight="1" s="108"/>
    <row r="346" ht="14.25" customHeight="1" s="108"/>
    <row r="347" ht="14.25" customHeight="1" s="108"/>
    <row r="348" ht="14.25" customHeight="1" s="108"/>
    <row r="349" ht="14.25" customHeight="1" s="108"/>
    <row r="350" ht="14.25" customHeight="1" s="108"/>
    <row r="351" ht="14.25" customHeight="1" s="108"/>
    <row r="352" ht="14.25" customHeight="1" s="108"/>
    <row r="353" ht="14.25" customHeight="1" s="108"/>
    <row r="354" ht="14.25" customHeight="1" s="108"/>
    <row r="355" ht="14.25" customHeight="1" s="108"/>
    <row r="356" ht="14.25" customHeight="1" s="108"/>
    <row r="357" ht="14.25" customHeight="1" s="108"/>
    <row r="358" ht="14.25" customHeight="1" s="108"/>
    <row r="359" ht="14.25" customHeight="1" s="108"/>
    <row r="360" ht="14.25" customHeight="1" s="108"/>
    <row r="361" ht="14.25" customHeight="1" s="108"/>
    <row r="362" ht="14.25" customHeight="1" s="108"/>
    <row r="363" ht="14.25" customHeight="1" s="108"/>
    <row r="364" ht="14.25" customHeight="1" s="108"/>
    <row r="365" ht="14.25" customHeight="1" s="108"/>
    <row r="366" ht="14.25" customHeight="1" s="108"/>
    <row r="367" ht="14.25" customHeight="1" s="108"/>
    <row r="368" ht="14.25" customHeight="1" s="108"/>
    <row r="369" ht="14.25" customHeight="1" s="108"/>
    <row r="370" ht="14.25" customHeight="1" s="108"/>
    <row r="371" ht="14.25" customHeight="1" s="108"/>
    <row r="372" ht="14.25" customHeight="1" s="108"/>
    <row r="373" ht="14.25" customHeight="1" s="108"/>
    <row r="374" ht="14.25" customHeight="1" s="108"/>
    <row r="375" ht="14.25" customHeight="1" s="108"/>
    <row r="376" ht="14.25" customHeight="1" s="108"/>
    <row r="377" ht="14.25" customHeight="1" s="108"/>
    <row r="378" ht="14.25" customHeight="1" s="108"/>
    <row r="379" ht="14.25" customHeight="1" s="108"/>
    <row r="380" ht="14.25" customHeight="1" s="108"/>
    <row r="381" ht="14.25" customHeight="1" s="108"/>
    <row r="382" ht="14.25" customHeight="1" s="108"/>
    <row r="383" ht="14.25" customHeight="1" s="108"/>
    <row r="384" ht="14.25" customHeight="1" s="108"/>
    <row r="385" ht="14.25" customHeight="1" s="108"/>
    <row r="386" ht="14.25" customHeight="1" s="108"/>
    <row r="387" ht="14.25" customHeight="1" s="108"/>
    <row r="388" ht="14.25" customHeight="1" s="108"/>
    <row r="389" ht="14.25" customHeight="1" s="108"/>
    <row r="390" ht="14.25" customHeight="1" s="108"/>
    <row r="391" ht="14.25" customHeight="1" s="108"/>
    <row r="392" ht="14.25" customHeight="1" s="108"/>
    <row r="393" ht="14.25" customHeight="1" s="108"/>
    <row r="394" ht="14.25" customHeight="1" s="108"/>
    <row r="395" ht="14.25" customHeight="1" s="108"/>
    <row r="396" ht="14.25" customHeight="1" s="108"/>
    <row r="397" ht="14.25" customHeight="1" s="108"/>
    <row r="398" ht="14.25" customHeight="1" s="108"/>
    <row r="399" ht="14.25" customHeight="1" s="108"/>
    <row r="400" ht="14.25" customHeight="1" s="108"/>
    <row r="401" ht="14.25" customHeight="1" s="108"/>
    <row r="402" ht="14.25" customHeight="1" s="108"/>
    <row r="403" ht="14.25" customHeight="1" s="108"/>
    <row r="404" ht="14.25" customHeight="1" s="108"/>
    <row r="405" ht="14.25" customHeight="1" s="108"/>
    <row r="406" ht="14.25" customHeight="1" s="108"/>
    <row r="407" ht="14.25" customHeight="1" s="108"/>
    <row r="408" ht="14.25" customHeight="1" s="108"/>
    <row r="409" ht="14.25" customHeight="1" s="108"/>
    <row r="410" ht="14.25" customHeight="1" s="108"/>
    <row r="411" ht="14.25" customHeight="1" s="108"/>
    <row r="412" ht="14.25" customHeight="1" s="108"/>
    <row r="413" ht="14.25" customHeight="1" s="108"/>
    <row r="414" ht="14.25" customHeight="1" s="108"/>
    <row r="415" ht="14.25" customHeight="1" s="108"/>
    <row r="416" ht="14.25" customHeight="1" s="108"/>
    <row r="417" ht="14.25" customHeight="1" s="108"/>
    <row r="418" ht="14.25" customHeight="1" s="108"/>
    <row r="419" ht="14.25" customHeight="1" s="108"/>
    <row r="420" ht="14.25" customHeight="1" s="108"/>
    <row r="421" ht="14.25" customHeight="1" s="108"/>
    <row r="422" ht="14.25" customHeight="1" s="108"/>
    <row r="423" ht="14.25" customHeight="1" s="108"/>
    <row r="424" ht="14.25" customHeight="1" s="108"/>
    <row r="425" ht="14.25" customHeight="1" s="108"/>
    <row r="426" ht="14.25" customHeight="1" s="108"/>
    <row r="427" ht="14.25" customHeight="1" s="108"/>
    <row r="428" ht="14.25" customHeight="1" s="108"/>
    <row r="429" ht="14.25" customHeight="1" s="108"/>
    <row r="430" ht="14.25" customHeight="1" s="108"/>
    <row r="431" ht="14.25" customHeight="1" s="108"/>
    <row r="432" ht="14.25" customHeight="1" s="108"/>
    <row r="433" ht="14.25" customHeight="1" s="108"/>
    <row r="434" ht="14.25" customHeight="1" s="108"/>
    <row r="435" ht="14.25" customHeight="1" s="108"/>
    <row r="436" ht="14.25" customHeight="1" s="108"/>
    <row r="437" ht="14.25" customHeight="1" s="108"/>
    <row r="438" ht="14.25" customHeight="1" s="108"/>
    <row r="439" ht="14.25" customHeight="1" s="108"/>
    <row r="440" ht="14.25" customHeight="1" s="108"/>
    <row r="441" ht="14.25" customHeight="1" s="108"/>
    <row r="442" ht="14.25" customHeight="1" s="108"/>
    <row r="443" ht="14.25" customHeight="1" s="108"/>
    <row r="444" ht="14.25" customHeight="1" s="108"/>
    <row r="445" ht="14.25" customHeight="1" s="108"/>
    <row r="446" ht="14.25" customHeight="1" s="108"/>
    <row r="447" ht="14.25" customHeight="1" s="108"/>
    <row r="448" ht="14.25" customHeight="1" s="108"/>
    <row r="449" ht="14.25" customHeight="1" s="108"/>
    <row r="450" ht="14.25" customHeight="1" s="108"/>
    <row r="451" ht="14.25" customHeight="1" s="108"/>
    <row r="452" ht="14.25" customHeight="1" s="108"/>
    <row r="453" ht="14.25" customHeight="1" s="108"/>
    <row r="454" ht="14.25" customHeight="1" s="108"/>
    <row r="455" ht="14.25" customHeight="1" s="108"/>
    <row r="456" ht="14.25" customHeight="1" s="108"/>
    <row r="457" ht="14.25" customHeight="1" s="108"/>
    <row r="458" ht="14.25" customHeight="1" s="108"/>
    <row r="459" ht="14.25" customHeight="1" s="108"/>
    <row r="460" ht="14.25" customHeight="1" s="108"/>
    <row r="461" ht="14.25" customHeight="1" s="108"/>
    <row r="462" ht="14.25" customHeight="1" s="108"/>
    <row r="463" ht="14.25" customHeight="1" s="108"/>
    <row r="464" ht="14.25" customHeight="1" s="108"/>
    <row r="465" ht="14.25" customHeight="1" s="108"/>
    <row r="466" ht="14.25" customHeight="1" s="108"/>
    <row r="467" ht="14.25" customHeight="1" s="108"/>
    <row r="468" ht="14.25" customHeight="1" s="108"/>
    <row r="469" ht="14.25" customHeight="1" s="108"/>
    <row r="470" ht="14.25" customHeight="1" s="108"/>
    <row r="471" ht="14.25" customHeight="1" s="108"/>
    <row r="472" ht="14.25" customHeight="1" s="108"/>
    <row r="473" ht="14.25" customHeight="1" s="108"/>
    <row r="474" ht="14.25" customHeight="1" s="108"/>
    <row r="475" ht="14.25" customHeight="1" s="108"/>
    <row r="476" ht="14.25" customHeight="1" s="108"/>
    <row r="477" ht="14.25" customHeight="1" s="108"/>
    <row r="478" ht="14.25" customHeight="1" s="108"/>
    <row r="479" ht="14.25" customHeight="1" s="108"/>
    <row r="480" ht="14.25" customHeight="1" s="108"/>
    <row r="481" ht="14.25" customHeight="1" s="108"/>
    <row r="482" ht="14.25" customHeight="1" s="108"/>
    <row r="483" ht="14.25" customHeight="1" s="108"/>
    <row r="484" ht="14.25" customHeight="1" s="108"/>
    <row r="485" ht="14.25" customHeight="1" s="108"/>
    <row r="486" ht="14.25" customHeight="1" s="108"/>
    <row r="487" ht="14.25" customHeight="1" s="108"/>
    <row r="488" ht="14.25" customHeight="1" s="108"/>
    <row r="489" ht="14.25" customHeight="1" s="108"/>
    <row r="490" ht="14.25" customHeight="1" s="108"/>
    <row r="491" ht="14.25" customHeight="1" s="108"/>
    <row r="492" ht="14.25" customHeight="1" s="108"/>
    <row r="493" ht="14.25" customHeight="1" s="108"/>
    <row r="494" ht="14.25" customHeight="1" s="108"/>
    <row r="495" ht="14.25" customHeight="1" s="108"/>
    <row r="496" ht="14.25" customHeight="1" s="108"/>
    <row r="497" ht="14.25" customHeight="1" s="108"/>
    <row r="498" ht="14.25" customHeight="1" s="108"/>
    <row r="499" ht="14.25" customHeight="1" s="108"/>
    <row r="500" ht="14.25" customHeight="1" s="108"/>
    <row r="501" ht="14.25" customHeight="1" s="108"/>
    <row r="502" ht="14.25" customHeight="1" s="108"/>
    <row r="503" ht="14.25" customHeight="1" s="108"/>
    <row r="504" ht="14.25" customHeight="1" s="108"/>
    <row r="505" ht="14.25" customHeight="1" s="108"/>
    <row r="506" ht="14.25" customHeight="1" s="108"/>
    <row r="507" ht="14.25" customHeight="1" s="108"/>
    <row r="508" ht="14.25" customHeight="1" s="108"/>
    <row r="509" ht="14.25" customHeight="1" s="108"/>
    <row r="510" ht="14.25" customHeight="1" s="108"/>
    <row r="511" ht="14.25" customHeight="1" s="108"/>
    <row r="512" ht="14.25" customHeight="1" s="108"/>
    <row r="513" ht="14.25" customHeight="1" s="108"/>
    <row r="514" ht="14.25" customHeight="1" s="108"/>
    <row r="515" ht="14.25" customHeight="1" s="108"/>
    <row r="516" ht="14.25" customHeight="1" s="108"/>
    <row r="517" ht="14.25" customHeight="1" s="108"/>
    <row r="518" ht="14.25" customHeight="1" s="108"/>
    <row r="519" ht="14.25" customHeight="1" s="108"/>
    <row r="520" ht="14.25" customHeight="1" s="108"/>
    <row r="521" ht="14.25" customHeight="1" s="108"/>
    <row r="522" ht="14.25" customHeight="1" s="108"/>
    <row r="523" ht="14.25" customHeight="1" s="108"/>
    <row r="524" ht="14.25" customHeight="1" s="108"/>
    <row r="525" ht="14.25" customHeight="1" s="108"/>
    <row r="526" ht="14.25" customHeight="1" s="108"/>
    <row r="527" ht="14.25" customHeight="1" s="108"/>
    <row r="528" ht="14.25" customHeight="1" s="108"/>
    <row r="529" ht="14.25" customHeight="1" s="108"/>
    <row r="530" ht="14.25" customHeight="1" s="108"/>
    <row r="531" ht="14.25" customHeight="1" s="108"/>
    <row r="532" ht="14.25" customHeight="1" s="108"/>
    <row r="533" ht="14.25" customHeight="1" s="108"/>
    <row r="534" ht="14.25" customHeight="1" s="108"/>
    <row r="535" ht="14.25" customHeight="1" s="108"/>
    <row r="536" ht="14.25" customHeight="1" s="108"/>
    <row r="537" ht="14.25" customHeight="1" s="108"/>
    <row r="538" ht="14.25" customHeight="1" s="108"/>
    <row r="539" ht="14.25" customHeight="1" s="108"/>
    <row r="540" ht="14.25" customHeight="1" s="108"/>
    <row r="541" ht="14.25" customHeight="1" s="108"/>
    <row r="542" ht="14.25" customHeight="1" s="108"/>
    <row r="543" ht="14.25" customHeight="1" s="108"/>
    <row r="544" ht="14.25" customHeight="1" s="108"/>
    <row r="545" ht="14.25" customHeight="1" s="108"/>
    <row r="546" ht="14.25" customHeight="1" s="108"/>
    <row r="547" ht="14.25" customHeight="1" s="108"/>
    <row r="548" ht="14.25" customHeight="1" s="108"/>
    <row r="549" ht="14.25" customHeight="1" s="108"/>
    <row r="550" ht="14.25" customHeight="1" s="108"/>
    <row r="551" ht="14.25" customHeight="1" s="108"/>
    <row r="552" ht="14.25" customHeight="1" s="108"/>
    <row r="553" ht="14.25" customHeight="1" s="108"/>
    <row r="554" ht="14.25" customHeight="1" s="108"/>
    <row r="555" ht="14.25" customHeight="1" s="108"/>
    <row r="556" ht="14.25" customHeight="1" s="108"/>
    <row r="557" ht="14.25" customHeight="1" s="108"/>
    <row r="558" ht="14.25" customHeight="1" s="108"/>
    <row r="559" ht="14.25" customHeight="1" s="108"/>
    <row r="560" ht="14.25" customHeight="1" s="108"/>
    <row r="561" ht="14.25" customHeight="1" s="108"/>
    <row r="562" ht="14.25" customHeight="1" s="108"/>
    <row r="563" ht="14.25" customHeight="1" s="108"/>
    <row r="564" ht="14.25" customHeight="1" s="108"/>
    <row r="565" ht="14.25" customHeight="1" s="108"/>
    <row r="566" ht="14.25" customHeight="1" s="108"/>
    <row r="567" ht="14.25" customHeight="1" s="108"/>
    <row r="568" ht="14.25" customHeight="1" s="108"/>
    <row r="569" ht="14.25" customHeight="1" s="108"/>
    <row r="570" ht="14.25" customHeight="1" s="108"/>
    <row r="571" ht="14.25" customHeight="1" s="108"/>
    <row r="572" ht="14.25" customHeight="1" s="108"/>
    <row r="573" ht="14.25" customHeight="1" s="108"/>
    <row r="574" ht="14.25" customHeight="1" s="108"/>
    <row r="575" ht="14.25" customHeight="1" s="108"/>
    <row r="576" ht="14.25" customHeight="1" s="108"/>
    <row r="577" ht="14.25" customHeight="1" s="108"/>
    <row r="578" ht="14.25" customHeight="1" s="108"/>
    <row r="579" ht="14.25" customHeight="1" s="108"/>
    <row r="580" ht="14.25" customHeight="1" s="108"/>
    <row r="581" ht="14.25" customHeight="1" s="108"/>
    <row r="582" ht="14.25" customHeight="1" s="108"/>
    <row r="583" ht="14.25" customHeight="1" s="108"/>
    <row r="584" ht="14.25" customHeight="1" s="108"/>
    <row r="585" ht="14.25" customHeight="1" s="108"/>
    <row r="586" ht="14.25" customHeight="1" s="108"/>
    <row r="587" ht="14.25" customHeight="1" s="108"/>
    <row r="588" ht="14.25" customHeight="1" s="108"/>
    <row r="589" ht="14.25" customHeight="1" s="108"/>
    <row r="590" ht="14.25" customHeight="1" s="108"/>
    <row r="591" ht="14.25" customHeight="1" s="108"/>
    <row r="592" ht="14.25" customHeight="1" s="108"/>
    <row r="593" ht="14.25" customHeight="1" s="108"/>
    <row r="594" ht="14.25" customHeight="1" s="108"/>
    <row r="595" ht="14.25" customHeight="1" s="108"/>
    <row r="596" ht="14.25" customHeight="1" s="108"/>
    <row r="597" ht="14.25" customHeight="1" s="108"/>
    <row r="598" ht="14.25" customHeight="1" s="108"/>
    <row r="599" ht="14.25" customHeight="1" s="108"/>
    <row r="600" ht="14.25" customHeight="1" s="108"/>
    <row r="601" ht="14.25" customHeight="1" s="108"/>
    <row r="602" ht="14.25" customHeight="1" s="108"/>
    <row r="603" ht="14.25" customHeight="1" s="108"/>
    <row r="604" ht="14.25" customHeight="1" s="108"/>
    <row r="605" ht="14.25" customHeight="1" s="108"/>
    <row r="606" ht="14.25" customHeight="1" s="108"/>
    <row r="607" ht="14.25" customHeight="1" s="108"/>
    <row r="608" ht="14.25" customHeight="1" s="108"/>
    <row r="609" ht="14.25" customHeight="1" s="108"/>
    <row r="610" ht="14.25" customHeight="1" s="108"/>
    <row r="611" ht="14.25" customHeight="1" s="108"/>
    <row r="612" ht="14.25" customHeight="1" s="108"/>
    <row r="613" ht="14.25" customHeight="1" s="108"/>
    <row r="614" ht="14.25" customHeight="1" s="108"/>
    <row r="615" ht="14.25" customHeight="1" s="108"/>
    <row r="616" ht="14.25" customHeight="1" s="108"/>
    <row r="617" ht="14.25" customHeight="1" s="108"/>
    <row r="618" ht="14.25" customHeight="1" s="108"/>
    <row r="619" ht="14.25" customHeight="1" s="108"/>
    <row r="620" ht="14.25" customHeight="1" s="108"/>
    <row r="621" ht="14.25" customHeight="1" s="108"/>
    <row r="622" ht="14.25" customHeight="1" s="108"/>
    <row r="623" ht="14.25" customHeight="1" s="108"/>
    <row r="624" ht="14.25" customHeight="1" s="108"/>
    <row r="625" ht="14.25" customHeight="1" s="108"/>
    <row r="626" ht="14.25" customHeight="1" s="108"/>
    <row r="627" ht="14.25" customHeight="1" s="108"/>
    <row r="628" ht="14.25" customHeight="1" s="108"/>
    <row r="629" ht="14.25" customHeight="1" s="108"/>
    <row r="630" ht="14.25" customHeight="1" s="108"/>
    <row r="631" ht="14.25" customHeight="1" s="108"/>
    <row r="632" ht="14.25" customHeight="1" s="108"/>
    <row r="633" ht="14.25" customHeight="1" s="108"/>
    <row r="634" ht="14.25" customHeight="1" s="108"/>
    <row r="635" ht="14.25" customHeight="1" s="108"/>
    <row r="636" ht="14.25" customHeight="1" s="108"/>
    <row r="637" ht="14.25" customHeight="1" s="108"/>
    <row r="638" ht="14.25" customHeight="1" s="108"/>
    <row r="639" ht="14.25" customHeight="1" s="108"/>
    <row r="640" ht="14.25" customHeight="1" s="108"/>
    <row r="641" ht="14.25" customHeight="1" s="108"/>
    <row r="642" ht="14.25" customHeight="1" s="108"/>
    <row r="643" ht="14.25" customHeight="1" s="108"/>
    <row r="644" ht="14.25" customHeight="1" s="108"/>
    <row r="645" ht="14.25" customHeight="1" s="108"/>
    <row r="646" ht="14.25" customHeight="1" s="108"/>
    <row r="647" ht="14.25" customHeight="1" s="108"/>
    <row r="648" ht="14.25" customHeight="1" s="108"/>
    <row r="649" ht="14.25" customHeight="1" s="108"/>
    <row r="650" ht="14.25" customHeight="1" s="108"/>
    <row r="651" ht="14.25" customHeight="1" s="108"/>
    <row r="652" ht="14.25" customHeight="1" s="108"/>
    <row r="653" ht="14.25" customHeight="1" s="108"/>
    <row r="654" ht="14.25" customHeight="1" s="108"/>
    <row r="655" ht="14.25" customHeight="1" s="108"/>
    <row r="656" ht="14.25" customHeight="1" s="108"/>
    <row r="657" ht="14.25" customHeight="1" s="108"/>
    <row r="658" ht="14.25" customHeight="1" s="108"/>
    <row r="659" ht="14.25" customHeight="1" s="108"/>
    <row r="660" ht="14.25" customHeight="1" s="108"/>
    <row r="661" ht="14.25" customHeight="1" s="108"/>
    <row r="662" ht="14.25" customHeight="1" s="108"/>
    <row r="663" ht="14.25" customHeight="1" s="108"/>
    <row r="664" ht="14.25" customHeight="1" s="108"/>
    <row r="665" ht="14.25" customHeight="1" s="108"/>
    <row r="666" ht="14.25" customHeight="1" s="108"/>
    <row r="667" ht="14.25" customHeight="1" s="108"/>
    <row r="668" ht="14.25" customHeight="1" s="108"/>
    <row r="669" ht="14.25" customHeight="1" s="108"/>
    <row r="670" ht="14.25" customHeight="1" s="108"/>
    <row r="671" ht="14.25" customHeight="1" s="108"/>
    <row r="672" ht="14.25" customHeight="1" s="108"/>
    <row r="673" ht="14.25" customHeight="1" s="108"/>
    <row r="674" ht="14.25" customHeight="1" s="108"/>
    <row r="675" ht="14.25" customHeight="1" s="108"/>
    <row r="676" ht="14.25" customHeight="1" s="108"/>
    <row r="677" ht="14.25" customHeight="1" s="108"/>
    <row r="678" ht="14.25" customHeight="1" s="108"/>
    <row r="679" ht="14.25" customHeight="1" s="108"/>
    <row r="680" ht="14.25" customHeight="1" s="108"/>
    <row r="681" ht="14.25" customHeight="1" s="108"/>
    <row r="682" ht="14.25" customHeight="1" s="108"/>
    <row r="683" ht="14.25" customHeight="1" s="108"/>
    <row r="684" ht="14.25" customHeight="1" s="108"/>
    <row r="685" ht="14.25" customHeight="1" s="108"/>
    <row r="686" ht="14.25" customHeight="1" s="108"/>
    <row r="687" ht="14.25" customHeight="1" s="108"/>
    <row r="688" ht="14.25" customHeight="1" s="108"/>
    <row r="689" ht="14.25" customHeight="1" s="108"/>
    <row r="690" ht="14.25" customHeight="1" s="108"/>
    <row r="691" ht="14.25" customHeight="1" s="108"/>
    <row r="692" ht="14.25" customHeight="1" s="108"/>
    <row r="693" ht="14.25" customHeight="1" s="108"/>
    <row r="694" ht="14.25" customHeight="1" s="108"/>
    <row r="695" ht="14.25" customHeight="1" s="108"/>
    <row r="696" ht="14.25" customHeight="1" s="108"/>
    <row r="697" ht="14.25" customHeight="1" s="108"/>
    <row r="698" ht="14.25" customHeight="1" s="108"/>
    <row r="699" ht="14.25" customHeight="1" s="108"/>
    <row r="700" ht="14.25" customHeight="1" s="108"/>
    <row r="701" ht="14.25" customHeight="1" s="108"/>
    <row r="702" ht="14.25" customHeight="1" s="108"/>
    <row r="703" ht="14.25" customHeight="1" s="108"/>
    <row r="704" ht="14.25" customHeight="1" s="108"/>
    <row r="705" ht="14.25" customHeight="1" s="108"/>
    <row r="706" ht="14.25" customHeight="1" s="108"/>
    <row r="707" ht="14.25" customHeight="1" s="108"/>
    <row r="708" ht="14.25" customHeight="1" s="108"/>
    <row r="709" ht="14.25" customHeight="1" s="108"/>
    <row r="710" ht="14.25" customHeight="1" s="108"/>
    <row r="711" ht="14.25" customHeight="1" s="108"/>
    <row r="712" ht="14.25" customHeight="1" s="108"/>
    <row r="713" ht="14.25" customHeight="1" s="108"/>
    <row r="714" ht="14.25" customHeight="1" s="108"/>
    <row r="715" ht="14.25" customHeight="1" s="108"/>
    <row r="716" ht="14.25" customHeight="1" s="108"/>
    <row r="717" ht="14.25" customHeight="1" s="108"/>
    <row r="718" ht="14.25" customHeight="1" s="108"/>
    <row r="719" ht="14.25" customHeight="1" s="108"/>
    <row r="720" ht="14.25" customHeight="1" s="108"/>
    <row r="721" ht="14.25" customHeight="1" s="108"/>
    <row r="722" ht="14.25" customHeight="1" s="108"/>
    <row r="723" ht="14.25" customHeight="1" s="108"/>
    <row r="724" ht="14.25" customHeight="1" s="108"/>
    <row r="725" ht="14.25" customHeight="1" s="108"/>
    <row r="726" ht="14.25" customHeight="1" s="108"/>
    <row r="727" ht="14.25" customHeight="1" s="108"/>
    <row r="728" ht="14.25" customHeight="1" s="108"/>
    <row r="729" ht="14.25" customHeight="1" s="108"/>
    <row r="730" ht="14.25" customHeight="1" s="108"/>
    <row r="731" ht="14.25" customHeight="1" s="108"/>
    <row r="732" ht="14.25" customHeight="1" s="108"/>
    <row r="733" ht="14.25" customHeight="1" s="108"/>
    <row r="734" ht="14.25" customHeight="1" s="108"/>
    <row r="735" ht="14.25" customHeight="1" s="108"/>
    <row r="736" ht="14.25" customHeight="1" s="108"/>
    <row r="737" ht="14.25" customHeight="1" s="108"/>
    <row r="738" ht="14.25" customHeight="1" s="108"/>
    <row r="739" ht="14.25" customHeight="1" s="108"/>
    <row r="740" ht="14.25" customHeight="1" s="108"/>
    <row r="741" ht="14.25" customHeight="1" s="108"/>
    <row r="742" ht="14.25" customHeight="1" s="108"/>
    <row r="743" ht="14.25" customHeight="1" s="108"/>
    <row r="744" ht="14.25" customHeight="1" s="108"/>
    <row r="745" ht="14.25" customHeight="1" s="108"/>
    <row r="746" ht="14.25" customHeight="1" s="108"/>
    <row r="747" ht="14.25" customHeight="1" s="108"/>
    <row r="748" ht="14.25" customHeight="1" s="108"/>
    <row r="749" ht="14.25" customHeight="1" s="108"/>
    <row r="750" ht="14.25" customHeight="1" s="108"/>
    <row r="751" ht="14.25" customHeight="1" s="108"/>
    <row r="752" ht="14.25" customHeight="1" s="108"/>
    <row r="753" ht="14.25" customHeight="1" s="108"/>
    <row r="754" ht="14.25" customHeight="1" s="108"/>
    <row r="755" ht="14.25" customHeight="1" s="108"/>
    <row r="756" ht="14.25" customHeight="1" s="108"/>
    <row r="757" ht="14.25" customHeight="1" s="108"/>
    <row r="758" ht="14.25" customHeight="1" s="108"/>
    <row r="759" ht="14.25" customHeight="1" s="108"/>
    <row r="760" ht="14.25" customHeight="1" s="108"/>
    <row r="761" ht="14.25" customHeight="1" s="108"/>
    <row r="762" ht="14.25" customHeight="1" s="108"/>
    <row r="763" ht="14.25" customHeight="1" s="108"/>
    <row r="764" ht="14.25" customHeight="1" s="108"/>
    <row r="765" ht="14.25" customHeight="1" s="108"/>
    <row r="766" ht="14.25" customHeight="1" s="108"/>
    <row r="767" ht="14.25" customHeight="1" s="108"/>
    <row r="768" ht="14.25" customHeight="1" s="108"/>
    <row r="769" ht="14.25" customHeight="1" s="108"/>
    <row r="770" ht="14.25" customHeight="1" s="108"/>
    <row r="771" ht="14.25" customHeight="1" s="108"/>
    <row r="772" ht="14.25" customHeight="1" s="108"/>
    <row r="773" ht="14.25" customHeight="1" s="108"/>
    <row r="774" ht="14.25" customHeight="1" s="108"/>
    <row r="775" ht="14.25" customHeight="1" s="108"/>
    <row r="776" ht="14.25" customHeight="1" s="108"/>
    <row r="777" ht="14.25" customHeight="1" s="108"/>
    <row r="778" ht="14.25" customHeight="1" s="108"/>
    <row r="779" ht="14.25" customHeight="1" s="108"/>
    <row r="780" ht="14.25" customHeight="1" s="108"/>
    <row r="781" ht="14.25" customHeight="1" s="108"/>
    <row r="782" ht="14.25" customHeight="1" s="108"/>
    <row r="783" ht="14.25" customHeight="1" s="108"/>
    <row r="784" ht="14.25" customHeight="1" s="108"/>
    <row r="785" ht="14.25" customHeight="1" s="108"/>
    <row r="786" ht="14.25" customHeight="1" s="108"/>
    <row r="787" ht="14.25" customHeight="1" s="108"/>
    <row r="788" ht="14.25" customHeight="1" s="108"/>
    <row r="789" ht="14.25" customHeight="1" s="108"/>
    <row r="790" ht="14.25" customHeight="1" s="108"/>
    <row r="791" ht="14.25" customHeight="1" s="108"/>
    <row r="792" ht="14.25" customHeight="1" s="108"/>
    <row r="793" ht="14.25" customHeight="1" s="108"/>
    <row r="794" ht="14.25" customHeight="1" s="108"/>
    <row r="795" ht="14.25" customHeight="1" s="108"/>
    <row r="796" ht="14.25" customHeight="1" s="108"/>
    <row r="797" ht="14.25" customHeight="1" s="108"/>
    <row r="798" ht="14.25" customHeight="1" s="108"/>
    <row r="799" ht="14.25" customHeight="1" s="108"/>
    <row r="800" ht="14.25" customHeight="1" s="108"/>
    <row r="801" ht="14.25" customHeight="1" s="108"/>
    <row r="802" ht="14.25" customHeight="1" s="108"/>
    <row r="803" ht="14.25" customHeight="1" s="108"/>
    <row r="804" ht="14.25" customHeight="1" s="108"/>
    <row r="805" ht="14.25" customHeight="1" s="108"/>
    <row r="806" ht="14.25" customHeight="1" s="108"/>
    <row r="807" ht="14.25" customHeight="1" s="108"/>
    <row r="808" ht="14.25" customHeight="1" s="108"/>
    <row r="809" ht="14.25" customHeight="1" s="108"/>
    <row r="810" ht="14.25" customHeight="1" s="108"/>
    <row r="811" ht="14.25" customHeight="1" s="108"/>
    <row r="812" ht="14.25" customHeight="1" s="108"/>
    <row r="813" ht="14.25" customHeight="1" s="108"/>
    <row r="814" ht="14.25" customHeight="1" s="108"/>
    <row r="815" ht="14.25" customHeight="1" s="108"/>
    <row r="816" ht="14.25" customHeight="1" s="108"/>
    <row r="817" ht="14.25" customHeight="1" s="108"/>
    <row r="818" ht="14.25" customHeight="1" s="108"/>
    <row r="819" ht="14.25" customHeight="1" s="108"/>
    <row r="820" ht="14.25" customHeight="1" s="108"/>
    <row r="821" ht="14.25" customHeight="1" s="108"/>
    <row r="822" ht="14.25" customHeight="1" s="108"/>
    <row r="823" ht="14.25" customHeight="1" s="108"/>
    <row r="824" ht="14.25" customHeight="1" s="108"/>
    <row r="825" ht="14.25" customHeight="1" s="108"/>
    <row r="826" ht="14.25" customHeight="1" s="108"/>
    <row r="827" ht="14.25" customHeight="1" s="108"/>
    <row r="828" ht="14.25" customHeight="1" s="108"/>
    <row r="829" ht="14.25" customHeight="1" s="108"/>
    <row r="830" ht="14.25" customHeight="1" s="108"/>
    <row r="831" ht="14.25" customHeight="1" s="108"/>
    <row r="832" ht="14.25" customHeight="1" s="108"/>
    <row r="833" ht="14.25" customHeight="1" s="108"/>
    <row r="834" ht="14.25" customHeight="1" s="108"/>
    <row r="835" ht="14.25" customHeight="1" s="108"/>
    <row r="836" ht="14.25" customHeight="1" s="108"/>
    <row r="837" ht="14.25" customHeight="1" s="108"/>
    <row r="838" ht="14.25" customHeight="1" s="108"/>
    <row r="839" ht="14.25" customHeight="1" s="108"/>
    <row r="840" ht="14.25" customHeight="1" s="108"/>
    <row r="841" ht="14.25" customHeight="1" s="108"/>
    <row r="842" ht="14.25" customHeight="1" s="108"/>
    <row r="843" ht="14.25" customHeight="1" s="108"/>
    <row r="844" ht="14.25" customHeight="1" s="108"/>
    <row r="845" ht="14.25" customHeight="1" s="108"/>
    <row r="846" ht="14.25" customHeight="1" s="108"/>
    <row r="847" ht="14.25" customHeight="1" s="108"/>
    <row r="848" ht="14.25" customHeight="1" s="108"/>
    <row r="849" ht="14.25" customHeight="1" s="108"/>
    <row r="850" ht="14.25" customHeight="1" s="108"/>
    <row r="851" ht="14.25" customHeight="1" s="108"/>
    <row r="852" ht="14.25" customHeight="1" s="108"/>
    <row r="853" ht="14.25" customHeight="1" s="108"/>
    <row r="854" ht="14.25" customHeight="1" s="108"/>
    <row r="855" ht="14.25" customHeight="1" s="108"/>
    <row r="856" ht="14.25" customHeight="1" s="108"/>
    <row r="857" ht="14.25" customHeight="1" s="108"/>
    <row r="858" ht="14.25" customHeight="1" s="108"/>
    <row r="859" ht="14.25" customHeight="1" s="108"/>
    <row r="860" ht="14.25" customHeight="1" s="108"/>
    <row r="861" ht="14.25" customHeight="1" s="108"/>
    <row r="862" ht="14.25" customHeight="1" s="108"/>
    <row r="863" ht="14.25" customHeight="1" s="108"/>
    <row r="864" ht="14.25" customHeight="1" s="108"/>
    <row r="865" ht="14.25" customHeight="1" s="108"/>
    <row r="866" ht="14.25" customHeight="1" s="108"/>
    <row r="867" ht="14.25" customHeight="1" s="108"/>
    <row r="868" ht="14.25" customHeight="1" s="108"/>
    <row r="869" ht="14.25" customHeight="1" s="108"/>
    <row r="870" ht="14.25" customHeight="1" s="108"/>
    <row r="871" ht="14.25" customHeight="1" s="108"/>
    <row r="872" ht="14.25" customHeight="1" s="108"/>
    <row r="873" ht="14.25" customHeight="1" s="108"/>
    <row r="874" ht="14.25" customHeight="1" s="108"/>
    <row r="875" ht="14.25" customHeight="1" s="108"/>
    <row r="876" ht="14.25" customHeight="1" s="108"/>
    <row r="877" ht="14.25" customHeight="1" s="108"/>
    <row r="878" ht="14.25" customHeight="1" s="108"/>
    <row r="879" ht="14.25" customHeight="1" s="108"/>
    <row r="880" ht="14.25" customHeight="1" s="108"/>
    <row r="881" ht="14.25" customHeight="1" s="108"/>
    <row r="882" ht="14.25" customHeight="1" s="108"/>
    <row r="883" ht="14.25" customHeight="1" s="108"/>
    <row r="884" ht="14.25" customHeight="1" s="108"/>
    <row r="885" ht="14.25" customHeight="1" s="108"/>
    <row r="886" ht="14.25" customHeight="1" s="108"/>
    <row r="887" ht="14.25" customHeight="1" s="108"/>
    <row r="888" ht="14.25" customHeight="1" s="108"/>
    <row r="889" ht="14.25" customHeight="1" s="108"/>
    <row r="890" ht="14.25" customHeight="1" s="108"/>
    <row r="891" ht="14.25" customHeight="1" s="108"/>
    <row r="892" ht="14.25" customHeight="1" s="108"/>
    <row r="893" ht="14.25" customHeight="1" s="108"/>
    <row r="894" ht="14.25" customHeight="1" s="108"/>
    <row r="895" ht="14.25" customHeight="1" s="108"/>
    <row r="896" ht="14.25" customHeight="1" s="108"/>
    <row r="897" ht="14.25" customHeight="1" s="108"/>
    <row r="898" ht="14.25" customHeight="1" s="108"/>
    <row r="899" ht="14.25" customHeight="1" s="108"/>
    <row r="900" ht="14.25" customHeight="1" s="108"/>
    <row r="901" ht="14.25" customHeight="1" s="108"/>
    <row r="902" ht="14.25" customHeight="1" s="108"/>
    <row r="903" ht="14.25" customHeight="1" s="108"/>
    <row r="904" ht="14.25" customHeight="1" s="108"/>
    <row r="905" ht="14.25" customHeight="1" s="108"/>
    <row r="906" ht="14.25" customHeight="1" s="108"/>
    <row r="907" ht="14.25" customHeight="1" s="108"/>
    <row r="908" ht="14.25" customHeight="1" s="108"/>
    <row r="909" ht="14.25" customHeight="1" s="108"/>
    <row r="910" ht="14.25" customHeight="1" s="108"/>
    <row r="911" ht="14.25" customHeight="1" s="108"/>
    <row r="912" ht="14.25" customHeight="1" s="108"/>
    <row r="913" ht="14.25" customHeight="1" s="108"/>
    <row r="914" ht="14.25" customHeight="1" s="108"/>
    <row r="915" ht="14.25" customHeight="1" s="108"/>
    <row r="916" ht="14.25" customHeight="1" s="108"/>
    <row r="917" ht="14.25" customHeight="1" s="108"/>
    <row r="918" ht="14.25" customHeight="1" s="108"/>
    <row r="919" ht="14.25" customHeight="1" s="108"/>
    <row r="920" ht="14.25" customHeight="1" s="108"/>
    <row r="921" ht="14.25" customHeight="1" s="108"/>
    <row r="922" ht="14.25" customHeight="1" s="108"/>
    <row r="923" ht="14.25" customHeight="1" s="108"/>
    <row r="924" ht="14.25" customHeight="1" s="108"/>
    <row r="925" ht="14.25" customHeight="1" s="108"/>
    <row r="926" ht="14.25" customHeight="1" s="108"/>
    <row r="927" ht="14.25" customHeight="1" s="108"/>
    <row r="928" ht="14.25" customHeight="1" s="108"/>
    <row r="929" ht="14.25" customHeight="1" s="108"/>
    <row r="930" ht="14.25" customHeight="1" s="108"/>
    <row r="931" ht="14.25" customHeight="1" s="108"/>
    <row r="932" ht="14.25" customHeight="1" s="108"/>
    <row r="933" ht="14.25" customHeight="1" s="108"/>
    <row r="934" ht="14.25" customHeight="1" s="108"/>
    <row r="935" ht="14.25" customHeight="1" s="108"/>
    <row r="936" ht="14.25" customHeight="1" s="108"/>
    <row r="937" ht="14.25" customHeight="1" s="108"/>
    <row r="938" ht="14.25" customHeight="1" s="108"/>
    <row r="939" ht="14.25" customHeight="1" s="108"/>
    <row r="940" ht="14.25" customHeight="1" s="108"/>
    <row r="941" ht="14.25" customHeight="1" s="108"/>
    <row r="942" ht="14.25" customHeight="1" s="108"/>
    <row r="943" ht="14.25" customHeight="1" s="108"/>
    <row r="944" ht="14.25" customHeight="1" s="108"/>
    <row r="945" ht="14.25" customHeight="1" s="108"/>
    <row r="946" ht="14.25" customHeight="1" s="108"/>
    <row r="947" ht="14.25" customHeight="1" s="108"/>
    <row r="948" ht="14.25" customHeight="1" s="108"/>
    <row r="949" ht="14.25" customHeight="1" s="108"/>
    <row r="950" ht="14.25" customHeight="1" s="108"/>
    <row r="951" ht="14.25" customHeight="1" s="108"/>
    <row r="952" ht="14.25" customHeight="1" s="108"/>
    <row r="953" ht="14.25" customHeight="1" s="108"/>
    <row r="954" ht="14.25" customHeight="1" s="108"/>
    <row r="955" ht="14.25" customHeight="1" s="108"/>
    <row r="956" ht="14.25" customHeight="1" s="108"/>
    <row r="957" ht="14.25" customHeight="1" s="108"/>
    <row r="958" ht="14.25" customHeight="1" s="108"/>
    <row r="959" ht="14.25" customHeight="1" s="108"/>
    <row r="960" ht="14.25" customHeight="1" s="108"/>
    <row r="961" ht="14.25" customHeight="1" s="108"/>
    <row r="962" ht="14.25" customHeight="1" s="108"/>
    <row r="963" ht="14.25" customHeight="1" s="108"/>
    <row r="964" ht="14.25" customHeight="1" s="108"/>
    <row r="965" ht="14.25" customHeight="1" s="108"/>
    <row r="966" ht="14.25" customHeight="1" s="108"/>
    <row r="967" ht="14.25" customHeight="1" s="108"/>
    <row r="968" ht="14.25" customHeight="1" s="108"/>
    <row r="969" ht="14.25" customHeight="1" s="108"/>
    <row r="970" ht="14.25" customHeight="1" s="108"/>
    <row r="971" ht="14.25" customHeight="1" s="108"/>
    <row r="972" ht="14.25" customHeight="1" s="108"/>
    <row r="973" ht="14.25" customHeight="1" s="108"/>
    <row r="974" ht="14.25" customHeight="1" s="108"/>
    <row r="975" ht="14.25" customHeight="1" s="108"/>
    <row r="976" ht="14.25" customHeight="1" s="108"/>
    <row r="977" ht="14.25" customHeight="1" s="108"/>
    <row r="978" ht="14.25" customHeight="1" s="108"/>
    <row r="979" ht="14.25" customHeight="1" s="108"/>
    <row r="980" ht="14.25" customHeight="1" s="108"/>
    <row r="981" ht="14.25" customHeight="1" s="108"/>
    <row r="982" ht="14.25" customHeight="1" s="108"/>
    <row r="983" ht="14.25" customHeight="1" s="108"/>
    <row r="984" ht="14.25" customHeight="1" s="108"/>
    <row r="985" ht="14.25" customHeight="1" s="108"/>
    <row r="986" ht="14.25" customHeight="1" s="108"/>
    <row r="987" ht="14.25" customHeight="1" s="108"/>
    <row r="988" ht="14.25" customHeight="1" s="108"/>
    <row r="989" ht="14.25" customHeight="1" s="108"/>
    <row r="990" ht="14.25" customHeight="1" s="108"/>
    <row r="991" ht="14.25" customHeight="1" s="108"/>
    <row r="992" ht="14.25" customHeight="1" s="108"/>
    <row r="993" ht="14.25" customHeight="1" s="108"/>
    <row r="994" ht="14.25" customHeight="1" s="108"/>
    <row r="995" ht="14.25" customHeight="1" s="108"/>
    <row r="996" ht="14.25" customHeight="1" s="108"/>
    <row r="997" ht="14.25" customHeight="1" s="108"/>
    <row r="998" ht="14.25" customHeight="1" s="108"/>
    <row r="999" ht="14.25" customHeight="1" s="108"/>
    <row r="1000" ht="14.25" customHeight="1" s="108"/>
  </sheetData>
  <mergeCells count="4">
    <mergeCell ref="A1:D1"/>
    <mergeCell ref="D5:D10"/>
    <mergeCell ref="A3:D3"/>
    <mergeCell ref="A2:D2"/>
  </mergeCells>
  <pageMargins left="0.511811024" right="0.511811024" top="0.787401575" bottom="0.787401575" header="0" footer="0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33" customWidth="1" style="108" min="2" max="2"/>
    <col width="60" customWidth="1" style="108" min="3" max="3"/>
  </cols>
  <sheetData>
    <row r="1">
      <c r="A1" s="129" t="inlineStr">
        <is>
          <t>OKR_ID</t>
        </is>
      </c>
      <c r="B1" s="129" t="inlineStr">
        <is>
          <t>Eixo_CAPES</t>
        </is>
      </c>
      <c r="C1" s="129" t="inlineStr">
        <is>
          <t>Objetivo_OKR</t>
        </is>
      </c>
    </row>
    <row r="2">
      <c r="A2" s="130" t="inlineStr">
        <is>
          <t>OKR1</t>
        </is>
      </c>
      <c r="B2" s="130" t="inlineStr">
        <is>
          <t>Programa</t>
        </is>
      </c>
      <c r="C2" s="130" t="inlineStr">
        <is>
          <t>Consolidar identidade e condições de funcionamento (missão, LP/LACT, infraestrutura, DP) com autoavaliação e planejamento executável</t>
        </is>
      </c>
    </row>
    <row r="3">
      <c r="A3" s="130" t="inlineStr">
        <is>
          <t>OKR2</t>
        </is>
      </c>
      <c r="B3" s="130" t="inlineStr">
        <is>
          <t>Formação &amp; Produção</t>
        </is>
      </c>
      <c r="C3" s="130" t="inlineStr">
        <is>
          <t>Elevar qualidade da formação e produção intelectual para padrão nota 6 (A1/A2, participação discente/egresso, teses/dissertações de destaque)</t>
        </is>
      </c>
    </row>
    <row r="4">
      <c r="A4" s="130" t="inlineStr">
        <is>
          <t>OKR3</t>
        </is>
      </c>
      <c r="B4" s="130" t="inlineStr">
        <is>
          <t>Impacto</t>
        </is>
      </c>
      <c r="C4" s="130" t="inlineStr">
        <is>
          <t>Demonstrar impacto social/tecnológico mensurável (casos de impacto, transferência, parcerias com serviços)</t>
        </is>
      </c>
    </row>
    <row r="5">
      <c r="A5" s="130" t="inlineStr">
        <is>
          <t>OKR4</t>
        </is>
      </c>
      <c r="B5" s="130" t="inlineStr">
        <is>
          <t>Impacto (Internacionalização)</t>
        </is>
      </c>
      <c r="C5" s="130" t="inlineStr">
        <is>
          <t>Estruturar internacionalização qualitativa e sustentável (ações DP, coautoria, disciplinas em outro idioma, mobilidade, cotutela)</t>
        </is>
      </c>
    </row>
    <row r="6">
      <c r="A6" s="130" t="inlineStr">
        <is>
          <t>OKR5</t>
        </is>
      </c>
      <c r="B6" s="130" t="inlineStr">
        <is>
          <t>Impacto (Inserção &amp; Visibilidade)</t>
        </is>
      </c>
      <c r="C6" s="130" t="inlineStr">
        <is>
          <t>Fortalecer inserção regional/nacional, visibilidade e popularização da ciência (rede, liderança, site, eventos, educação básica)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60" customWidth="1" style="108" min="3" max="3"/>
    <col width="38" customWidth="1" style="108" min="4" max="4"/>
    <col width="10" customWidth="1" style="108" min="5" max="5"/>
    <col width="44" customWidth="1" style="108" min="6" max="6"/>
  </cols>
  <sheetData>
    <row r="1">
      <c r="A1" s="129" t="inlineStr">
        <is>
          <t>KR_ID</t>
        </is>
      </c>
      <c r="B1" s="129" t="inlineStr">
        <is>
          <t>OKR_ID</t>
        </is>
      </c>
      <c r="C1" s="129" t="inlineStr">
        <is>
          <t>Resultado-chave</t>
        </is>
      </c>
      <c r="D1" s="129" t="inlineStr">
        <is>
          <t>Meta_2028</t>
        </is>
      </c>
      <c r="E1" s="129" t="inlineStr">
        <is>
          <t>Frequência</t>
        </is>
      </c>
      <c r="F1" s="129" t="inlineStr">
        <is>
          <t>Fonte</t>
        </is>
      </c>
    </row>
    <row r="2">
      <c r="A2" s="130" t="inlineStr">
        <is>
          <t>OKR1.KR1</t>
        </is>
      </c>
      <c r="B2" s="130" t="inlineStr">
        <is>
          <t>OKR1</t>
        </is>
      </c>
      <c r="C2" s="130" t="inlineStr">
        <is>
          <t>Revisar e alinhar 100% das LP/LACT e estrutura curricular à missão, demandas do SUS/ODS e Documento de Área.</t>
        </is>
      </c>
      <c r="D2" s="130" t="inlineStr">
        <is>
          <t>100% alinhado</t>
        </is>
      </c>
      <c r="E2" s="130" t="inlineStr">
        <is>
          <t>Anual</t>
        </is>
      </c>
      <c r="F2" s="130" t="inlineStr">
        <is>
          <t>Regimento/Projeto Pedagógico; atas colegiado</t>
        </is>
      </c>
    </row>
    <row r="3">
      <c r="A3" s="130" t="inlineStr">
        <is>
          <t>OKR1.KR2</t>
        </is>
      </c>
      <c r="B3" s="130" t="inlineStr">
        <is>
          <t>OKR1</t>
        </is>
      </c>
      <c r="C3" s="130" t="inlineStr">
        <is>
          <t>Manter estabilidade do DP ≥70% no quadriênio.</t>
        </is>
      </c>
      <c r="D3" s="130" t="inlineStr">
        <is>
          <t>≥70%</t>
        </is>
      </c>
      <c r="E3" s="130" t="inlineStr">
        <is>
          <t>Semestral</t>
        </is>
      </c>
      <c r="F3" s="130" t="inlineStr">
        <is>
          <t>Sucupira; RH/PPG</t>
        </is>
      </c>
    </row>
    <row r="4">
      <c r="A4" s="130" t="inlineStr">
        <is>
          <t>OKR1.KR3</t>
        </is>
      </c>
      <c r="B4" s="130" t="inlineStr">
        <is>
          <t>OKR1</t>
        </is>
      </c>
      <c r="C4" s="130" t="inlineStr">
        <is>
          <t>Aumentar proporção de DP com PP financiado (editais) e/ou DP bolsistas (PQ/DT) em relação à linha de base.</t>
        </is>
      </c>
      <c r="D4" s="130" t="inlineStr">
        <is>
          <t>+X p.p. vs. baseline</t>
        </is>
      </c>
      <c r="E4" s="130" t="inlineStr">
        <is>
          <t>Anual</t>
        </is>
      </c>
      <c r="F4" s="130" t="inlineStr">
        <is>
          <t>Sucupira; CNPq/FAP/IES</t>
        </is>
      </c>
    </row>
    <row r="5">
      <c r="A5" s="130" t="inlineStr">
        <is>
          <t>OKR1.KR4</t>
        </is>
      </c>
      <c r="B5" s="130" t="inlineStr">
        <is>
          <t>OKR1</t>
        </is>
      </c>
      <c r="C5" s="130" t="inlineStr">
        <is>
          <t>Executar autoavaliação anual com avaliador externo e plano de ação com evidências.</t>
        </is>
      </c>
      <c r="D5" s="130" t="inlineStr">
        <is>
          <t>1 ciclo/ano</t>
        </is>
      </c>
      <c r="E5" s="130" t="inlineStr">
        <is>
          <t>Anual</t>
        </is>
      </c>
      <c r="F5" s="130" t="inlineStr">
        <is>
          <t>Relatório de autoavaliação</t>
        </is>
      </c>
    </row>
    <row r="6">
      <c r="A6" s="130" t="inlineStr">
        <is>
          <t>OKR2.KR1</t>
        </is>
      </c>
      <c r="B6" s="130" t="inlineStr">
        <is>
          <t>OKR2</t>
        </is>
      </c>
      <c r="C6" s="130" t="inlineStr">
        <is>
          <t>Atingir proporção de produção docente nos estratos superiores (A1+A2) compatível com padrão nota 6.</t>
        </is>
      </c>
      <c r="D6" s="130" t="inlineStr">
        <is>
          <t>≥50% A1+A2</t>
        </is>
      </c>
      <c r="E6" s="130" t="inlineStr">
        <is>
          <t>Trimestral</t>
        </is>
      </c>
      <c r="F6" s="130" t="inlineStr">
        <is>
          <t>Sucupira; bases/estratos</t>
        </is>
      </c>
    </row>
    <row r="7">
      <c r="A7" s="130" t="inlineStr">
        <is>
          <t>OKR2.KR2</t>
        </is>
      </c>
      <c r="B7" s="130" t="inlineStr">
        <is>
          <t>OKR2</t>
        </is>
      </c>
      <c r="C7" s="130" t="inlineStr">
        <is>
          <t>Elevar % de discentes/egressos com produção em estratos superiores (top 2 e top 4) conforme ficha CAPES.</t>
        </is>
      </c>
      <c r="D7" s="130" t="inlineStr">
        <is>
          <t>≥60% (top 2) e ≥80% (top 4)</t>
        </is>
      </c>
      <c r="E7" s="130" t="inlineStr">
        <is>
          <t>Semestral</t>
        </is>
      </c>
      <c r="F7" s="130" t="inlineStr">
        <is>
          <t>Sucupira</t>
        </is>
      </c>
    </row>
    <row r="8">
      <c r="A8" s="130" t="inlineStr">
        <is>
          <t>OKR2.KR3</t>
        </is>
      </c>
      <c r="B8" s="130" t="inlineStr">
        <is>
          <t>OKR2</t>
        </is>
      </c>
      <c r="C8" s="130" t="inlineStr">
        <is>
          <t>Garantir que 100% das teses/dissertações indicadas estejam indexadas na BDENF/LILACS e tenham justificativa robusta.</t>
        </is>
      </c>
      <c r="D8" s="130" t="inlineStr">
        <is>
          <t>100%</t>
        </is>
      </c>
      <c r="E8" s="130" t="inlineStr">
        <is>
          <t>Anual</t>
        </is>
      </c>
      <c r="F8" s="130" t="inlineStr">
        <is>
          <t>BDENF/LILACS; Sucupira</t>
        </is>
      </c>
    </row>
    <row r="9">
      <c r="A9" s="130" t="inlineStr">
        <is>
          <t>OKR2.KR4</t>
        </is>
      </c>
      <c r="B9" s="130" t="inlineStr">
        <is>
          <t>OKR2</t>
        </is>
      </c>
      <c r="C9" s="130" t="inlineStr">
        <is>
          <t>Garantir recomendação de produção por DP (mín. 4 artigos em estrato ≥5º no quadriênio) com plano para quem estiver abaixo.</t>
        </is>
      </c>
      <c r="D9" s="130" t="inlineStr">
        <is>
          <t>≥90% dos DP atendendo</t>
        </is>
      </c>
      <c r="E9" s="130" t="inlineStr">
        <is>
          <t>Semestral</t>
        </is>
      </c>
      <c r="F9" s="130" t="inlineStr">
        <is>
          <t>Produção docente</t>
        </is>
      </c>
    </row>
    <row r="10">
      <c r="A10" s="130" t="inlineStr">
        <is>
          <t>OKR3.KR1</t>
        </is>
      </c>
      <c r="B10" s="130" t="inlineStr">
        <is>
          <t>OKR3</t>
        </is>
      </c>
      <c r="C10" s="130" t="inlineStr">
        <is>
          <t>Construir e documentar 3 casos de impacto com evidências (adoção/efeitos externos) no quadriênio, com participação discente.</t>
        </is>
      </c>
      <c r="D10" s="130" t="inlineStr">
        <is>
          <t>≥3 casos</t>
        </is>
      </c>
      <c r="E10" s="130" t="inlineStr">
        <is>
          <t>Semestral</t>
        </is>
      </c>
      <c r="F10" s="130" t="inlineStr">
        <is>
          <t>Dossiês de impacto</t>
        </is>
      </c>
    </row>
    <row r="11">
      <c r="A11" s="130" t="inlineStr">
        <is>
          <t>OKR3.KR2</t>
        </is>
      </c>
      <c r="B11" s="130" t="inlineStr">
        <is>
          <t>OKR3</t>
        </is>
      </c>
      <c r="C11" s="130" t="inlineStr">
        <is>
          <t>Indicar e acompanhar 5 projetos com alto potencial de inovação (social, gestão, educação, tecnologia) para evidências no relatório.</t>
        </is>
      </c>
      <c r="D11" s="130" t="inlineStr">
        <is>
          <t>≥5 projetos</t>
        </is>
      </c>
      <c r="E11" s="130" t="inlineStr">
        <is>
          <t>Anual</t>
        </is>
      </c>
      <c r="F11" s="130" t="inlineStr">
        <is>
          <t>Portfólio de projetos</t>
        </is>
      </c>
    </row>
    <row r="12">
      <c r="A12" s="130" t="inlineStr">
        <is>
          <t>OKR3.KR3</t>
        </is>
      </c>
      <c r="B12" s="130" t="inlineStr">
        <is>
          <t>OKR3</t>
        </is>
      </c>
      <c r="C12" s="130" t="inlineStr">
        <is>
          <t>Firmar parcerias formais com serviços/gestores para implementação e avaliação de produtos/processos.</t>
        </is>
      </c>
      <c r="D12" s="130" t="inlineStr">
        <is>
          <t>≥6 acordos/convênios</t>
        </is>
      </c>
      <c r="E12" s="130" t="inlineStr">
        <is>
          <t>Trimestral</t>
        </is>
      </c>
      <c r="F12" s="130" t="inlineStr">
        <is>
          <t>Convênios; termos de cooperação</t>
        </is>
      </c>
    </row>
    <row r="13">
      <c r="A13" s="130" t="inlineStr">
        <is>
          <t>OKR4.KR1</t>
        </is>
      </c>
      <c r="B13" s="130" t="inlineStr">
        <is>
          <t>OKR4</t>
        </is>
      </c>
      <c r="C13" s="130" t="inlineStr">
        <is>
          <t>Garantir que ≥50% do DP realize ≥3 ações internacionais no quadriênio.</t>
        </is>
      </c>
      <c r="D13" s="130" t="inlineStr">
        <is>
          <t>≥50% DP</t>
        </is>
      </c>
      <c r="E13" s="130" t="inlineStr">
        <is>
          <t>Anual</t>
        </is>
      </c>
      <c r="F13" s="130" t="inlineStr">
        <is>
          <t>Sucupira; registros PPG</t>
        </is>
      </c>
    </row>
    <row r="14">
      <c r="A14" s="130" t="inlineStr">
        <is>
          <t>OKR4.KR2</t>
        </is>
      </c>
      <c r="B14" s="130" t="inlineStr">
        <is>
          <t>OKR4</t>
        </is>
      </c>
      <c r="C14" s="130" t="inlineStr">
        <is>
          <t>Aumentar proporção de produção qualificada com coautoria internacional.</t>
        </is>
      </c>
      <c r="D14" s="130" t="inlineStr">
        <is>
          <t>≥30%</t>
        </is>
      </c>
      <c r="E14" s="130" t="inlineStr">
        <is>
          <t>Semestral</t>
        </is>
      </c>
      <c r="F14" s="130" t="inlineStr">
        <is>
          <t>Produção bibliográfica</t>
        </is>
      </c>
    </row>
    <row r="15">
      <c r="A15" s="130" t="inlineStr">
        <is>
          <t>OKR4.KR3</t>
        </is>
      </c>
      <c r="B15" s="130" t="inlineStr">
        <is>
          <t>OKR4</t>
        </is>
      </c>
      <c r="C15" s="130" t="inlineStr">
        <is>
          <t>Ofertar 1 disciplina/atividade formativa em idioma estrangeiro por ano e viabilizar mobilidade discente (sanduíche/cotutela).</t>
        </is>
      </c>
      <c r="D15" s="130" t="inlineStr">
        <is>
          <t>≥1/ano + ≥4 mobilidades</t>
        </is>
      </c>
      <c r="E15" s="130" t="inlineStr">
        <is>
          <t>Semestral</t>
        </is>
      </c>
      <c r="F15" s="130" t="inlineStr">
        <is>
          <t>Plano de ensino; convênios</t>
        </is>
      </c>
    </row>
    <row r="16">
      <c r="A16" s="130" t="inlineStr">
        <is>
          <t>OKR5.KR1</t>
        </is>
      </c>
      <c r="B16" s="130" t="inlineStr">
        <is>
          <t>OKR5</t>
        </is>
      </c>
      <c r="C16" s="130" t="inlineStr">
        <is>
          <t>Garantir que ≥60% do DP realize ≥3 ações de inserção regional/nacional no quadriênio.</t>
        </is>
      </c>
      <c r="D16" s="130" t="inlineStr">
        <is>
          <t>≥60% DP</t>
        </is>
      </c>
      <c r="E16" s="130" t="inlineStr">
        <is>
          <t>Anual</t>
        </is>
      </c>
      <c r="F16" s="130" t="inlineStr">
        <is>
          <t>Sucupira; registros</t>
        </is>
      </c>
    </row>
    <row r="17">
      <c r="A17" s="130" t="inlineStr">
        <is>
          <t>OKR5.KR2</t>
        </is>
      </c>
      <c r="B17" s="130" t="inlineStr">
        <is>
          <t>OKR5</t>
        </is>
      </c>
      <c r="C17" s="130" t="inlineStr">
        <is>
          <t>Implantar plano de comunicação científica e atualizar página do PPG (PT/EN/ES) com dados exigidos.</t>
        </is>
      </c>
      <c r="D17" s="130" t="inlineStr">
        <is>
          <t>Página atualizada + bilíngue/trilíngue</t>
        </is>
      </c>
      <c r="E17" s="130" t="inlineStr">
        <is>
          <t>Trimestral</t>
        </is>
      </c>
      <c r="F17" s="130" t="inlineStr">
        <is>
          <t>Site; relatórios</t>
        </is>
      </c>
    </row>
    <row r="18">
      <c r="A18" s="130" t="inlineStr">
        <is>
          <t>OKR5.KR3</t>
        </is>
      </c>
      <c r="B18" s="130" t="inlineStr">
        <is>
          <t>OKR5</t>
        </is>
      </c>
      <c r="C18" s="130" t="inlineStr">
        <is>
          <t>Realizar ações regulares de popularização da ciência e interação com serviços/educação básica.</t>
        </is>
      </c>
      <c r="D18" s="130" t="inlineStr">
        <is>
          <t>≥6 ações/ano</t>
        </is>
      </c>
      <c r="E18" s="130" t="inlineStr">
        <is>
          <t>Trimestral</t>
        </is>
      </c>
      <c r="F18" s="130" t="inlineStr">
        <is>
          <t>Agenda e evidências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10" customWidth="1" style="108" min="3" max="3"/>
    <col width="49" customWidth="1" style="108" min="4" max="4"/>
    <col width="60" customWidth="1" style="108" min="5" max="5"/>
    <col width="10" customWidth="1" style="108" min="6" max="6"/>
    <col width="10" customWidth="1" style="108" min="7" max="7"/>
    <col width="17" customWidth="1" style="108" min="8" max="8"/>
  </cols>
  <sheetData>
    <row r="1">
      <c r="A1" s="129" t="inlineStr">
        <is>
          <t>KPI_ID</t>
        </is>
      </c>
      <c r="B1" s="129" t="inlineStr">
        <is>
          <t>OKR_ID</t>
        </is>
      </c>
      <c r="C1" s="129" t="inlineStr">
        <is>
          <t>KR_ID</t>
        </is>
      </c>
      <c r="D1" s="129" t="inlineStr">
        <is>
          <t>KPI</t>
        </is>
      </c>
      <c r="E1" s="129" t="inlineStr">
        <is>
          <t>Definição</t>
        </is>
      </c>
      <c r="F1" s="129" t="inlineStr">
        <is>
          <t>Unidade</t>
        </is>
      </c>
      <c r="G1" s="129" t="inlineStr">
        <is>
          <t>Frequência</t>
        </is>
      </c>
      <c r="H1" s="129" t="inlineStr">
        <is>
          <t>Fonte</t>
        </is>
      </c>
    </row>
    <row r="2">
      <c r="A2" s="130" t="inlineStr">
        <is>
          <t>KPI01</t>
        </is>
      </c>
      <c r="B2" s="130" t="inlineStr">
        <is>
          <t>OKR1</t>
        </is>
      </c>
      <c r="C2" s="130" t="inlineStr">
        <is>
          <t>OKR1.KR1</t>
        </is>
      </c>
      <c r="D2" s="130" t="inlineStr">
        <is>
          <t>% LP/LACT revisadas e alinhadas</t>
        </is>
      </c>
      <c r="E2" s="130" t="inlineStr">
        <is>
          <t>Percentual de linhas/LACT com revisão e evidência de alinhamento à missão/ODS/SUS</t>
        </is>
      </c>
      <c r="F2" s="130" t="inlineStr">
        <is>
          <t>%</t>
        </is>
      </c>
      <c r="G2" s="130" t="inlineStr">
        <is>
          <t>Anual</t>
        </is>
      </c>
      <c r="H2" s="130" t="inlineStr">
        <is>
          <t>PPG/Atas</t>
        </is>
      </c>
    </row>
    <row r="3">
      <c r="A3" s="130" t="inlineStr">
        <is>
          <t>KPI02</t>
        </is>
      </c>
      <c r="B3" s="130" t="inlineStr">
        <is>
          <t>OKR1</t>
        </is>
      </c>
      <c r="C3" s="130" t="inlineStr">
        <is>
          <t>OKR1.KR2</t>
        </is>
      </c>
      <c r="D3" s="130" t="inlineStr">
        <is>
          <t>Estabilidade do DP</t>
        </is>
      </c>
      <c r="E3" s="130" t="inlineStr">
        <is>
          <t>[DP que permaneceu como DP nos 4 anos / total DP que atuou 1–4 anos]</t>
        </is>
      </c>
      <c r="F3" s="130" t="inlineStr">
        <is>
          <t>%</t>
        </is>
      </c>
      <c r="G3" s="130" t="inlineStr">
        <is>
          <t>Semestral</t>
        </is>
      </c>
      <c r="H3" s="130" t="inlineStr">
        <is>
          <t>Sucupira/RH</t>
        </is>
      </c>
    </row>
    <row r="4">
      <c r="A4" s="130" t="inlineStr">
        <is>
          <t>KPI03</t>
        </is>
      </c>
      <c r="B4" s="130" t="inlineStr">
        <is>
          <t>OKR1</t>
        </is>
      </c>
      <c r="C4" s="130" t="inlineStr">
        <is>
          <t>OKR1.KR3</t>
        </is>
      </c>
      <c r="D4" s="130" t="inlineStr">
        <is>
          <t>DP com PP financiado</t>
        </is>
      </c>
      <c r="E4" s="130" t="inlineStr">
        <is>
          <t>[Somatório DP com PP financiado / nº médio de DP] x 100</t>
        </is>
      </c>
      <c r="F4" s="130" t="inlineStr">
        <is>
          <t>%</t>
        </is>
      </c>
      <c r="G4" s="130" t="inlineStr">
        <is>
          <t>Anual</t>
        </is>
      </c>
      <c r="H4" s="130" t="inlineStr">
        <is>
          <t>Sucupira/Projetos</t>
        </is>
      </c>
    </row>
    <row r="5">
      <c r="A5" s="130" t="inlineStr">
        <is>
          <t>KPI04</t>
        </is>
      </c>
      <c r="B5" s="130" t="inlineStr">
        <is>
          <t>OKR1</t>
        </is>
      </c>
      <c r="C5" s="130" t="inlineStr">
        <is>
          <t>OKR1.KR3</t>
        </is>
      </c>
      <c r="D5" s="130" t="inlineStr">
        <is>
          <t>DP bolsista (PQ/DT)</t>
        </is>
      </c>
      <c r="E5" s="130" t="inlineStr">
        <is>
          <t>[Somatório DP bolsistas PQ/DT / nº médio de DP] x 100</t>
        </is>
      </c>
      <c r="F5" s="130" t="inlineStr">
        <is>
          <t>%</t>
        </is>
      </c>
      <c r="G5" s="130" t="inlineStr">
        <is>
          <t>Anual</t>
        </is>
      </c>
      <c r="H5" s="130" t="inlineStr">
        <is>
          <t>CNPq/FAP</t>
        </is>
      </c>
    </row>
    <row r="6">
      <c r="A6" s="130" t="inlineStr">
        <is>
          <t>KPI05</t>
        </is>
      </c>
      <c r="B6" s="130" t="inlineStr">
        <is>
          <t>OKR1</t>
        </is>
      </c>
      <c r="C6" s="130" t="inlineStr">
        <is>
          <t>OKR1.KR4</t>
        </is>
      </c>
      <c r="D6" s="130" t="inlineStr">
        <is>
          <t>Ciclos de autoavaliação concluídos</t>
        </is>
      </c>
      <c r="E6" s="130" t="inlineStr">
        <is>
          <t>Nº de ciclos anuais com avaliador externo + plano de ação executado</t>
        </is>
      </c>
      <c r="F6" s="130" t="inlineStr">
        <is>
          <t>n</t>
        </is>
      </c>
      <c r="G6" s="130" t="inlineStr">
        <is>
          <t>Anual</t>
        </is>
      </c>
      <c r="H6" s="130" t="inlineStr">
        <is>
          <t>Relatórios</t>
        </is>
      </c>
    </row>
    <row r="7">
      <c r="A7" s="130" t="inlineStr">
        <is>
          <t>KPI06</t>
        </is>
      </c>
      <c r="B7" s="130" t="inlineStr">
        <is>
          <t>OKR2</t>
        </is>
      </c>
      <c r="C7" s="130" t="inlineStr">
        <is>
          <t>OKR2.KR1</t>
        </is>
      </c>
      <c r="D7" s="130" t="inlineStr">
        <is>
          <t>% produção A1+A2</t>
        </is>
      </c>
      <c r="E7" s="130" t="inlineStr">
        <is>
          <t>(Publicações A1+A2) / (total publicações)</t>
        </is>
      </c>
      <c r="F7" s="130" t="inlineStr">
        <is>
          <t>%</t>
        </is>
      </c>
      <c r="G7" s="130" t="inlineStr">
        <is>
          <t>Trimestral</t>
        </is>
      </c>
      <c r="H7" s="130" t="inlineStr">
        <is>
          <t>Sucupira</t>
        </is>
      </c>
    </row>
    <row r="8">
      <c r="A8" s="130" t="inlineStr">
        <is>
          <t>KPI07</t>
        </is>
      </c>
      <c r="B8" s="130" t="inlineStr">
        <is>
          <t>OKR2</t>
        </is>
      </c>
      <c r="C8" s="130" t="inlineStr">
        <is>
          <t>OKR2.KR2</t>
        </is>
      </c>
      <c r="D8" s="130" t="inlineStr">
        <is>
          <t>% discentes/egressos com publicação top-2</t>
        </is>
      </c>
      <c r="E8" s="130" t="inlineStr">
        <is>
          <t>[Nº discentes/egressos autores em top-2 / nº médio de alunos] x 100</t>
        </is>
      </c>
      <c r="F8" s="130" t="inlineStr">
        <is>
          <t>%</t>
        </is>
      </c>
      <c r="G8" s="130" t="inlineStr">
        <is>
          <t>Semestral</t>
        </is>
      </c>
      <c r="H8" s="130" t="inlineStr">
        <is>
          <t>Sucupira</t>
        </is>
      </c>
    </row>
    <row r="9">
      <c r="A9" s="130" t="inlineStr">
        <is>
          <t>KPI08</t>
        </is>
      </c>
      <c r="B9" s="130" t="inlineStr">
        <is>
          <t>OKR2</t>
        </is>
      </c>
      <c r="C9" s="130" t="inlineStr">
        <is>
          <t>OKR2.KR2</t>
        </is>
      </c>
      <c r="D9" s="130" t="inlineStr">
        <is>
          <t>% discentes/egressos com publicação top-4</t>
        </is>
      </c>
      <c r="E9" s="130" t="inlineStr">
        <is>
          <t>[Nº discentes/egressos autores em top-4 / nº médio de alunos] x 100</t>
        </is>
      </c>
      <c r="F9" s="130" t="inlineStr">
        <is>
          <t>%</t>
        </is>
      </c>
      <c r="G9" s="130" t="inlineStr">
        <is>
          <t>Semestral</t>
        </is>
      </c>
      <c r="H9" s="130" t="inlineStr">
        <is>
          <t>Sucupira</t>
        </is>
      </c>
    </row>
    <row r="10">
      <c r="A10" s="130" t="inlineStr">
        <is>
          <t>KPI09</t>
        </is>
      </c>
      <c r="B10" s="130" t="inlineStr">
        <is>
          <t>OKR2</t>
        </is>
      </c>
      <c r="C10" s="130" t="inlineStr">
        <is>
          <t>OKR2.KR3</t>
        </is>
      </c>
      <c r="D10" s="130" t="inlineStr">
        <is>
          <t>% teses/dissertações indicadas indexadas</t>
        </is>
      </c>
      <c r="E10" s="130" t="inlineStr">
        <is>
          <t>Trabalhos indicados (4) com comprovante BDENF/LILACS / 4</t>
        </is>
      </c>
      <c r="F10" s="130" t="inlineStr">
        <is>
          <t>%</t>
        </is>
      </c>
      <c r="G10" s="130" t="inlineStr">
        <is>
          <t>Anual</t>
        </is>
      </c>
      <c r="H10" s="130" t="inlineStr">
        <is>
          <t>BDENF/LILACS</t>
        </is>
      </c>
    </row>
    <row r="11">
      <c r="A11" s="130" t="inlineStr">
        <is>
          <t>KPI10</t>
        </is>
      </c>
      <c r="B11" s="130" t="inlineStr">
        <is>
          <t>OKR2</t>
        </is>
      </c>
      <c r="C11" s="130" t="inlineStr">
        <is>
          <t>OKR2.KR4</t>
        </is>
      </c>
      <c r="D11" s="130" t="inlineStr">
        <is>
          <t>% DP com produção mínima recomendada</t>
        </is>
      </c>
      <c r="E11" s="130" t="inlineStr">
        <is>
          <t>DP com ≥4 artigos em estrato ≥5º no quadriênio / DP</t>
        </is>
      </c>
      <c r="F11" s="130" t="inlineStr">
        <is>
          <t>%</t>
        </is>
      </c>
      <c r="G11" s="130" t="inlineStr">
        <is>
          <t>Semestral</t>
        </is>
      </c>
      <c r="H11" s="130" t="inlineStr">
        <is>
          <t>Produção docente</t>
        </is>
      </c>
    </row>
    <row r="12">
      <c r="A12" s="130" t="inlineStr">
        <is>
          <t>KPI11</t>
        </is>
      </c>
      <c r="B12" s="130" t="inlineStr">
        <is>
          <t>OKR3</t>
        </is>
      </c>
      <c r="C12" s="130" t="inlineStr">
        <is>
          <t>OKR3.KR1</t>
        </is>
      </c>
      <c r="D12" s="130" t="inlineStr">
        <is>
          <t>Nº casos de impacto com evidências</t>
        </is>
      </c>
      <c r="E12" s="130" t="inlineStr">
        <is>
          <t>Casos completos (produto/processo + evidência de efeito externo)</t>
        </is>
      </c>
      <c r="F12" s="130" t="inlineStr">
        <is>
          <t>n</t>
        </is>
      </c>
      <c r="G12" s="130" t="inlineStr">
        <is>
          <t>Semestral</t>
        </is>
      </c>
      <c r="H12" s="130" t="inlineStr">
        <is>
          <t>Dossiês</t>
        </is>
      </c>
    </row>
    <row r="13">
      <c r="A13" s="130" t="inlineStr">
        <is>
          <t>KPI12</t>
        </is>
      </c>
      <c r="B13" s="130" t="inlineStr">
        <is>
          <t>OKR3</t>
        </is>
      </c>
      <c r="C13" s="130" t="inlineStr">
        <is>
          <t>OKR3.KR1</t>
        </is>
      </c>
      <c r="D13" s="130" t="inlineStr">
        <is>
          <t>% casos de impacto com participação discente</t>
        </is>
      </c>
      <c r="E13" s="130" t="inlineStr">
        <is>
          <t>Casos com discente / total casos</t>
        </is>
      </c>
      <c r="F13" s="130" t="inlineStr">
        <is>
          <t>%</t>
        </is>
      </c>
      <c r="G13" s="130" t="inlineStr">
        <is>
          <t>Semestral</t>
        </is>
      </c>
      <c r="H13" s="130" t="inlineStr">
        <is>
          <t>Dossiês</t>
        </is>
      </c>
    </row>
    <row r="14">
      <c r="A14" s="130" t="inlineStr">
        <is>
          <t>KPI13</t>
        </is>
      </c>
      <c r="B14" s="130" t="inlineStr">
        <is>
          <t>OKR3</t>
        </is>
      </c>
      <c r="C14" s="130" t="inlineStr">
        <is>
          <t>OKR3.KR3</t>
        </is>
      </c>
      <c r="D14" s="130" t="inlineStr">
        <is>
          <t>Nº parcerias formais com serviços</t>
        </is>
      </c>
      <c r="E14" s="130" t="inlineStr">
        <is>
          <t>Convênios/termos ativos para implementação/avaliação de produtos</t>
        </is>
      </c>
      <c r="F14" s="130" t="inlineStr">
        <is>
          <t>n</t>
        </is>
      </c>
      <c r="G14" s="130" t="inlineStr">
        <is>
          <t>Trimestral</t>
        </is>
      </c>
      <c r="H14" s="130" t="inlineStr">
        <is>
          <t>Convênios</t>
        </is>
      </c>
    </row>
    <row r="15">
      <c r="A15" s="130" t="inlineStr">
        <is>
          <t>KPI14</t>
        </is>
      </c>
      <c r="B15" s="130" t="inlineStr">
        <is>
          <t>OKR3</t>
        </is>
      </c>
      <c r="C15" s="130" t="inlineStr">
        <is>
          <t>OKR3.KR2</t>
        </is>
      </c>
      <c r="D15" s="130" t="inlineStr">
        <is>
          <t>Nº projetos com potencial de inovação monitorados</t>
        </is>
      </c>
      <c r="E15" s="130" t="inlineStr">
        <is>
          <t>Projetos priorizados com plano de evidências (inovação social/gestão/educação/tecnologia)</t>
        </is>
      </c>
      <c r="F15" s="130" t="inlineStr">
        <is>
          <t>n</t>
        </is>
      </c>
      <c r="G15" s="130" t="inlineStr">
        <is>
          <t>Anual</t>
        </is>
      </c>
      <c r="H15" s="130" t="inlineStr">
        <is>
          <t>Portfólio</t>
        </is>
      </c>
    </row>
    <row r="16">
      <c r="A16" s="130" t="inlineStr">
        <is>
          <t>KPI15</t>
        </is>
      </c>
      <c r="B16" s="130" t="inlineStr">
        <is>
          <t>OKR4</t>
        </is>
      </c>
      <c r="C16" s="130" t="inlineStr">
        <is>
          <t>OKR4.KR1</t>
        </is>
      </c>
      <c r="D16" s="130" t="inlineStr">
        <is>
          <t>% DP com ≥3 ações internacionais</t>
        </is>
      </c>
      <c r="E16" s="130" t="inlineStr">
        <is>
          <t>[Somatório de DP com ≥3 ações internacionais / nº médio DP] x 100</t>
        </is>
      </c>
      <c r="F16" s="130" t="inlineStr">
        <is>
          <t>%</t>
        </is>
      </c>
      <c r="G16" s="130" t="inlineStr">
        <is>
          <t>Anual</t>
        </is>
      </c>
      <c r="H16" s="130" t="inlineStr">
        <is>
          <t>Sucupira</t>
        </is>
      </c>
    </row>
    <row r="17">
      <c r="A17" s="130" t="inlineStr">
        <is>
          <t>KPI16</t>
        </is>
      </c>
      <c r="B17" s="130" t="inlineStr">
        <is>
          <t>OKR4</t>
        </is>
      </c>
      <c r="C17" s="130" t="inlineStr">
        <is>
          <t>OKR4.KR2</t>
        </is>
      </c>
      <c r="D17" s="130" t="inlineStr">
        <is>
          <t>% publicações com coautoria internacional</t>
        </is>
      </c>
      <c r="E17" s="130" t="inlineStr">
        <is>
          <t>Publicações qualif. com coautor estrangeiro / publicações qualif.</t>
        </is>
      </c>
      <c r="F17" s="130" t="inlineStr">
        <is>
          <t>%</t>
        </is>
      </c>
      <c r="G17" s="130" t="inlineStr">
        <is>
          <t>Semestral</t>
        </is>
      </c>
      <c r="H17" s="130" t="inlineStr">
        <is>
          <t>Produção</t>
        </is>
      </c>
    </row>
    <row r="18">
      <c r="A18" s="130" t="inlineStr">
        <is>
          <t>KPI17</t>
        </is>
      </c>
      <c r="B18" s="130" t="inlineStr">
        <is>
          <t>OKR4</t>
        </is>
      </c>
      <c r="C18" s="130" t="inlineStr">
        <is>
          <t>OKR4.KR3</t>
        </is>
      </c>
      <c r="D18" s="130" t="inlineStr">
        <is>
          <t>Nº disciplinas em idioma estrangeiro</t>
        </is>
      </c>
      <c r="E18" s="130" t="inlineStr">
        <is>
          <t>Disciplinas/atividades formais ofertadas em EN/ES por ano</t>
        </is>
      </c>
      <c r="F18" s="130" t="inlineStr">
        <is>
          <t>n</t>
        </is>
      </c>
      <c r="G18" s="130" t="inlineStr">
        <is>
          <t>Semestral</t>
        </is>
      </c>
      <c r="H18" s="130" t="inlineStr">
        <is>
          <t>Ofertas</t>
        </is>
      </c>
    </row>
    <row r="19">
      <c r="A19" s="130" t="inlineStr">
        <is>
          <t>KPI18</t>
        </is>
      </c>
      <c r="B19" s="130" t="inlineStr">
        <is>
          <t>OKR4</t>
        </is>
      </c>
      <c r="C19" s="130" t="inlineStr">
        <is>
          <t>OKR4.KR3</t>
        </is>
      </c>
      <c r="D19" s="130" t="inlineStr">
        <is>
          <t>Nº mobilidades internacionais (discente/DP)</t>
        </is>
      </c>
      <c r="E19" s="130" t="inlineStr">
        <is>
          <t>Sanduíche/cotutela/missões ≥ critérios CAPES</t>
        </is>
      </c>
      <c r="F19" s="130" t="inlineStr">
        <is>
          <t>n</t>
        </is>
      </c>
      <c r="G19" s="130" t="inlineStr">
        <is>
          <t>Semestral</t>
        </is>
      </c>
      <c r="H19" s="130" t="inlineStr">
        <is>
          <t>Registros</t>
        </is>
      </c>
    </row>
    <row r="20">
      <c r="A20" s="130" t="inlineStr">
        <is>
          <t>KPI19</t>
        </is>
      </c>
      <c r="B20" s="130" t="inlineStr">
        <is>
          <t>OKR5</t>
        </is>
      </c>
      <c r="C20" s="130" t="inlineStr">
        <is>
          <t>OKR5.KR1</t>
        </is>
      </c>
      <c r="D20" s="130" t="inlineStr">
        <is>
          <t>% DP com ≥3 ações de inserção regional/nacional</t>
        </is>
      </c>
      <c r="E20" s="130" t="inlineStr">
        <is>
          <t>[Somatório DP com ≥3 itens de inserção / nº médio DP] x 100</t>
        </is>
      </c>
      <c r="F20" s="130" t="inlineStr">
        <is>
          <t>%</t>
        </is>
      </c>
      <c r="G20" s="130" t="inlineStr">
        <is>
          <t>Anual</t>
        </is>
      </c>
      <c r="H20" s="130" t="inlineStr">
        <is>
          <t>Sucupira</t>
        </is>
      </c>
    </row>
    <row r="21">
      <c r="A21" s="130" t="inlineStr">
        <is>
          <t>KPI20</t>
        </is>
      </c>
      <c r="B21" s="130" t="inlineStr">
        <is>
          <t>OKR5</t>
        </is>
      </c>
      <c r="C21" s="130" t="inlineStr">
        <is>
          <t>OKR5.KR2</t>
        </is>
      </c>
      <c r="D21" s="130" t="inlineStr">
        <is>
          <t>Checklist de página do PPG (PT/EN/ES)</t>
        </is>
      </c>
      <c r="E21" s="130" t="inlineStr">
        <is>
          <t>Percentual de itens obrigatórios presentes/atualizados (AC/LP, corpo docente, edital, produção, regimento, critérios)</t>
        </is>
      </c>
      <c r="F21" s="130" t="inlineStr">
        <is>
          <t>%</t>
        </is>
      </c>
      <c r="G21" s="130" t="inlineStr">
        <is>
          <t>Trimestral</t>
        </is>
      </c>
      <c r="H21" s="130" t="inlineStr">
        <is>
          <t>Site</t>
        </is>
      </c>
    </row>
    <row r="22">
      <c r="A22" s="130" t="inlineStr">
        <is>
          <t>KPI21</t>
        </is>
      </c>
      <c r="B22" s="130" t="inlineStr">
        <is>
          <t>OKR5</t>
        </is>
      </c>
      <c r="C22" s="130" t="inlineStr">
        <is>
          <t>OKR5.KR3</t>
        </is>
      </c>
      <c r="D22" s="130" t="inlineStr">
        <is>
          <t>Nº ações de popularização da ciência</t>
        </is>
      </c>
      <c r="E22" s="130" t="inlineStr">
        <is>
          <t>Ações com evidência (mídias, escolas, serviços, eventos)</t>
        </is>
      </c>
      <c r="F22" s="130" t="inlineStr">
        <is>
          <t>n</t>
        </is>
      </c>
      <c r="G22" s="130" t="inlineStr">
        <is>
          <t>Trimestral</t>
        </is>
      </c>
      <c r="H22" s="130" t="inlineStr">
        <is>
          <t>Comunicação/PPG</t>
        </is>
      </c>
    </row>
    <row r="23">
      <c r="A23" s="130" t="inlineStr">
        <is>
          <t>KPI22</t>
        </is>
      </c>
      <c r="B23" s="130" t="inlineStr">
        <is>
          <t>OKR5</t>
        </is>
      </c>
      <c r="C23" s="130" t="inlineStr">
        <is>
          <t>OKR5.KR3</t>
        </is>
      </c>
      <c r="D23" s="130" t="inlineStr">
        <is>
          <t>Alcance estimado das ações (público)</t>
        </is>
      </c>
      <c r="E23" s="130" t="inlineStr">
        <is>
          <t>Soma de participantes/visualizações documentadas</t>
        </is>
      </c>
      <c r="F23" s="130" t="inlineStr">
        <is>
          <t>n</t>
        </is>
      </c>
      <c r="G23" s="130" t="inlineStr">
        <is>
          <t>Trimestral</t>
        </is>
      </c>
      <c r="H23" s="130" t="inlineStr">
        <is>
          <t>Relatórios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10" customWidth="1" style="108" min="3" max="3"/>
  </cols>
  <sheetData>
    <row r="1">
      <c r="A1" s="129" t="inlineStr">
        <is>
          <t>OKR_ID</t>
        </is>
      </c>
      <c r="B1" s="129" t="inlineStr">
        <is>
          <t>KR_ID</t>
        </is>
      </c>
      <c r="C1" s="129" t="inlineStr">
        <is>
          <t>KPI_ID</t>
        </is>
      </c>
    </row>
    <row r="2">
      <c r="A2" s="130" t="inlineStr">
        <is>
          <t>OKR1</t>
        </is>
      </c>
      <c r="B2" s="130" t="inlineStr">
        <is>
          <t>OKR1.KR1</t>
        </is>
      </c>
      <c r="C2" s="130" t="inlineStr">
        <is>
          <t>KPI01</t>
        </is>
      </c>
    </row>
    <row r="3">
      <c r="A3" s="130" t="inlineStr">
        <is>
          <t>OKR1</t>
        </is>
      </c>
      <c r="B3" s="130" t="inlineStr">
        <is>
          <t>OKR1.KR2</t>
        </is>
      </c>
      <c r="C3" s="130" t="inlineStr">
        <is>
          <t>KPI02</t>
        </is>
      </c>
    </row>
    <row r="4">
      <c r="A4" s="130" t="inlineStr">
        <is>
          <t>OKR1</t>
        </is>
      </c>
      <c r="B4" s="130" t="inlineStr">
        <is>
          <t>OKR1.KR3</t>
        </is>
      </c>
      <c r="C4" s="130" t="inlineStr">
        <is>
          <t>KPI03</t>
        </is>
      </c>
    </row>
    <row r="5">
      <c r="A5" s="130" t="inlineStr">
        <is>
          <t>OKR1</t>
        </is>
      </c>
      <c r="B5" s="130" t="inlineStr">
        <is>
          <t>OKR1.KR3</t>
        </is>
      </c>
      <c r="C5" s="130" t="inlineStr">
        <is>
          <t>KPI04</t>
        </is>
      </c>
    </row>
    <row r="6">
      <c r="A6" s="130" t="inlineStr">
        <is>
          <t>OKR1</t>
        </is>
      </c>
      <c r="B6" s="130" t="inlineStr">
        <is>
          <t>OKR1.KR4</t>
        </is>
      </c>
      <c r="C6" s="130" t="inlineStr">
        <is>
          <t>KPI05</t>
        </is>
      </c>
    </row>
    <row r="7">
      <c r="A7" s="130" t="inlineStr">
        <is>
          <t>OKR2</t>
        </is>
      </c>
      <c r="B7" s="130" t="inlineStr">
        <is>
          <t>OKR2.KR1</t>
        </is>
      </c>
      <c r="C7" s="130" t="inlineStr">
        <is>
          <t>KPI06</t>
        </is>
      </c>
    </row>
    <row r="8">
      <c r="A8" s="130" t="inlineStr">
        <is>
          <t>OKR2</t>
        </is>
      </c>
      <c r="B8" s="130" t="inlineStr">
        <is>
          <t>OKR2.KR2</t>
        </is>
      </c>
      <c r="C8" s="130" t="inlineStr">
        <is>
          <t>KPI07</t>
        </is>
      </c>
    </row>
    <row r="9">
      <c r="A9" s="130" t="inlineStr">
        <is>
          <t>OKR2</t>
        </is>
      </c>
      <c r="B9" s="130" t="inlineStr">
        <is>
          <t>OKR2.KR2</t>
        </is>
      </c>
      <c r="C9" s="130" t="inlineStr">
        <is>
          <t>KPI08</t>
        </is>
      </c>
    </row>
    <row r="10">
      <c r="A10" s="130" t="inlineStr">
        <is>
          <t>OKR2</t>
        </is>
      </c>
      <c r="B10" s="130" t="inlineStr">
        <is>
          <t>OKR2.KR3</t>
        </is>
      </c>
      <c r="C10" s="130" t="inlineStr">
        <is>
          <t>KPI09</t>
        </is>
      </c>
    </row>
    <row r="11">
      <c r="A11" s="130" t="inlineStr">
        <is>
          <t>OKR2</t>
        </is>
      </c>
      <c r="B11" s="130" t="inlineStr">
        <is>
          <t>OKR2.KR4</t>
        </is>
      </c>
      <c r="C11" s="130" t="inlineStr">
        <is>
          <t>KPI10</t>
        </is>
      </c>
    </row>
    <row r="12">
      <c r="A12" s="130" t="inlineStr">
        <is>
          <t>OKR3</t>
        </is>
      </c>
      <c r="B12" s="130" t="inlineStr">
        <is>
          <t>OKR3.KR1</t>
        </is>
      </c>
      <c r="C12" s="130" t="inlineStr">
        <is>
          <t>KPI11</t>
        </is>
      </c>
    </row>
    <row r="13">
      <c r="A13" s="130" t="inlineStr">
        <is>
          <t>OKR3</t>
        </is>
      </c>
      <c r="B13" s="130" t="inlineStr">
        <is>
          <t>OKR3.KR1</t>
        </is>
      </c>
      <c r="C13" s="130" t="inlineStr">
        <is>
          <t>KPI12</t>
        </is>
      </c>
    </row>
    <row r="14">
      <c r="A14" s="130" t="inlineStr">
        <is>
          <t>OKR3</t>
        </is>
      </c>
      <c r="B14" s="130" t="inlineStr">
        <is>
          <t>OKR3.KR3</t>
        </is>
      </c>
      <c r="C14" s="130" t="inlineStr">
        <is>
          <t>KPI13</t>
        </is>
      </c>
    </row>
    <row r="15">
      <c r="A15" s="130" t="inlineStr">
        <is>
          <t>OKR3</t>
        </is>
      </c>
      <c r="B15" s="130" t="inlineStr">
        <is>
          <t>OKR3.KR2</t>
        </is>
      </c>
      <c r="C15" s="130" t="inlineStr">
        <is>
          <t>KPI14</t>
        </is>
      </c>
    </row>
    <row r="16">
      <c r="A16" s="130" t="inlineStr">
        <is>
          <t>OKR4</t>
        </is>
      </c>
      <c r="B16" s="130" t="inlineStr">
        <is>
          <t>OKR4.KR1</t>
        </is>
      </c>
      <c r="C16" s="130" t="inlineStr">
        <is>
          <t>KPI15</t>
        </is>
      </c>
    </row>
    <row r="17">
      <c r="A17" s="130" t="inlineStr">
        <is>
          <t>OKR4</t>
        </is>
      </c>
      <c r="B17" s="130" t="inlineStr">
        <is>
          <t>OKR4.KR2</t>
        </is>
      </c>
      <c r="C17" s="130" t="inlineStr">
        <is>
          <t>KPI16</t>
        </is>
      </c>
    </row>
    <row r="18">
      <c r="A18" s="130" t="inlineStr">
        <is>
          <t>OKR4</t>
        </is>
      </c>
      <c r="B18" s="130" t="inlineStr">
        <is>
          <t>OKR4.KR3</t>
        </is>
      </c>
      <c r="C18" s="130" t="inlineStr">
        <is>
          <t>KPI17</t>
        </is>
      </c>
    </row>
    <row r="19">
      <c r="A19" s="130" t="inlineStr">
        <is>
          <t>OKR4</t>
        </is>
      </c>
      <c r="B19" s="130" t="inlineStr">
        <is>
          <t>OKR4.KR3</t>
        </is>
      </c>
      <c r="C19" s="130" t="inlineStr">
        <is>
          <t>KPI18</t>
        </is>
      </c>
    </row>
    <row r="20">
      <c r="A20" s="130" t="inlineStr">
        <is>
          <t>OKR5</t>
        </is>
      </c>
      <c r="B20" s="130" t="inlineStr">
        <is>
          <t>OKR5.KR1</t>
        </is>
      </c>
      <c r="C20" s="130" t="inlineStr">
        <is>
          <t>KPI19</t>
        </is>
      </c>
    </row>
    <row r="21">
      <c r="A21" s="130" t="inlineStr">
        <is>
          <t>OKR5</t>
        </is>
      </c>
      <c r="B21" s="130" t="inlineStr">
        <is>
          <t>OKR5.KR2</t>
        </is>
      </c>
      <c r="C21" s="130" t="inlineStr">
        <is>
          <t>KPI20</t>
        </is>
      </c>
    </row>
    <row r="22">
      <c r="A22" s="130" t="inlineStr">
        <is>
          <t>OKR5</t>
        </is>
      </c>
      <c r="B22" s="130" t="inlineStr">
        <is>
          <t>OKR5.KR3</t>
        </is>
      </c>
      <c r="C22" s="130" t="inlineStr">
        <is>
          <t>KPI21</t>
        </is>
      </c>
    </row>
    <row r="23">
      <c r="A23" s="130" t="inlineStr">
        <is>
          <t>OKR5</t>
        </is>
      </c>
      <c r="B23" s="130" t="inlineStr">
        <is>
          <t>OKR5.KR3</t>
        </is>
      </c>
      <c r="C23" s="130" t="inlineStr">
        <is>
          <t>KPI22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60" customWidth="1" style="108" min="3" max="3"/>
    <col width="60" customWidth="1" style="108" min="4" max="4"/>
    <col width="53" customWidth="1" style="108" min="5" max="5"/>
    <col width="10" customWidth="1" style="108" min="6" max="6"/>
    <col width="10" customWidth="1" style="108" min="7" max="7"/>
    <col width="10" customWidth="1" style="108" min="8" max="8"/>
    <col width="10" customWidth="1" style="108" min="9" max="9"/>
    <col width="12" customWidth="1" style="108" min="10" max="10"/>
    <col width="10" customWidth="1" style="108" min="11" max="11"/>
    <col width="10" customWidth="1" style="108" min="12" max="12"/>
    <col width="10" customWidth="1" style="108" min="13" max="13"/>
    <col width="60" customWidth="1" style="108" min="14" max="14"/>
    <col width="14" customWidth="1" style="108" min="15" max="15"/>
  </cols>
  <sheetData>
    <row r="1">
      <c r="A1" s="129" t="inlineStr">
        <is>
          <t>ID</t>
        </is>
      </c>
      <c r="B1" s="129" t="inlineStr">
        <is>
          <t>EIXO</t>
        </is>
      </c>
      <c r="C1" s="129" t="inlineStr">
        <is>
          <t>O QUÊ?</t>
        </is>
      </c>
      <c r="D1" s="129" t="inlineStr">
        <is>
          <t>POR QUE?</t>
        </is>
      </c>
      <c r="E1" s="129" t="inlineStr">
        <is>
          <t>QUEM?</t>
        </is>
      </c>
      <c r="F1" s="129" t="inlineStr">
        <is>
          <t>ONDE?</t>
        </is>
      </c>
      <c r="G1" s="129" t="inlineStr">
        <is>
          <t>QUANDO?</t>
        </is>
      </c>
      <c r="H1" s="129" t="inlineStr">
        <is>
          <t>COMO?</t>
        </is>
      </c>
      <c r="I1" s="129" t="inlineStr">
        <is>
          <t>QUANTO?</t>
        </is>
      </c>
      <c r="J1" s="129" t="inlineStr">
        <is>
          <t>STATUS</t>
        </is>
      </c>
      <c r="K1" s="129" t="inlineStr">
        <is>
          <t>OBSERVAÇÕES</t>
        </is>
      </c>
      <c r="L1" s="129" t="inlineStr">
        <is>
          <t>OKR_ID_SUGERIDA</t>
        </is>
      </c>
      <c r="M1" s="129" t="inlineStr">
        <is>
          <t>OKR_ID_FINAL</t>
        </is>
      </c>
      <c r="N1" s="129" t="inlineStr">
        <is>
          <t>OKR_OBJETIVO</t>
        </is>
      </c>
      <c r="O1" s="129" t="inlineStr">
        <is>
          <t>OKR_ID_USADA</t>
        </is>
      </c>
    </row>
    <row r="2">
      <c r="A2" s="130" t="n">
        <v>1</v>
      </c>
      <c r="B2" s="130" t="inlineStr">
        <is>
          <t>PROGRAMA</t>
        </is>
      </c>
      <c r="C2" s="130" t="inlineStr">
        <is>
          <t>Revisão e atualização do Manual do Aluno</t>
        </is>
      </c>
      <c r="D2" s="130" t="inlineStr">
        <is>
          <t>Uniformizar trabalhos, melhorar a qualidade e garantir alinhamento com os objetivos do programa</t>
        </is>
      </c>
      <c r="E2" s="130" t="inlineStr">
        <is>
          <t>Comissão de Acompanhamento Discente</t>
        </is>
      </c>
      <c r="F2" s="130" t="n"/>
      <c r="G2" s="130" t="n"/>
      <c r="H2" s="130" t="n"/>
      <c r="I2" s="130" t="n"/>
      <c r="J2" s="130" t="inlineStr">
        <is>
          <t>EM ANDAMENTO</t>
        </is>
      </c>
      <c r="K2" s="130" t="n"/>
      <c r="L2" s="130" t="inlineStr">
        <is>
          <t>OKR2</t>
        </is>
      </c>
      <c r="M2" s="130" t="inlineStr"/>
      <c r="N2" s="130" t="inlineStr">
        <is>
          <t>Elevar qualidade da formação e produção intelectual para padrão nota 6 (A1/A2, participação discente/egresso, teses/dissertações de destaque)</t>
        </is>
      </c>
      <c r="O2" s="130">
        <f>IF(M2&lt;&gt;"",M2,L2)</f>
        <v/>
      </c>
    </row>
    <row r="3">
      <c r="A3" s="130" t="n">
        <v>2</v>
      </c>
      <c r="B3" s="130" t="inlineStr">
        <is>
          <t>PROGRAMA</t>
        </is>
      </c>
      <c r="C3" s="130" t="inlineStr">
        <is>
          <t xml:space="preserve">Listar as expertises de cada Laboratório vinculado ao Programa e o suporte que pode ser ofertado  </t>
        </is>
      </c>
      <c r="D3" s="130" t="inlineStr">
        <is>
          <t>Dar visibilidade à infraestrutura oferecida pelo programa e disponibilizar seu uso para os projetos, alunos e docentes do programa</t>
        </is>
      </c>
      <c r="E3" s="130" t="inlineStr">
        <is>
          <t>Comissão de Credenciamento e Acompanhamento Docente</t>
        </is>
      </c>
      <c r="F3" s="130" t="n"/>
      <c r="G3" s="130" t="n"/>
      <c r="H3" s="130" t="n"/>
      <c r="I3" s="130" t="n"/>
      <c r="J3" s="130" t="inlineStr">
        <is>
          <t>EM ANDAMENTO</t>
        </is>
      </c>
      <c r="K3" s="130" t="n"/>
      <c r="L3" s="130" t="inlineStr">
        <is>
          <t>OKR2</t>
        </is>
      </c>
      <c r="M3" s="130" t="inlineStr"/>
      <c r="N3" s="130" t="inlineStr">
        <is>
          <t>Elevar qualidade da formação e produção intelectual para padrão nota 6 (A1/A2, participação discente/egresso, teses/dissertações de destaque)</t>
        </is>
      </c>
      <c r="O3" s="130">
        <f>IF(M3&lt;&gt;"",M3,L3)</f>
        <v/>
      </c>
    </row>
    <row r="4">
      <c r="A4" s="130" t="n">
        <v>3</v>
      </c>
      <c r="B4" s="130" t="inlineStr">
        <is>
          <t>PROGRAMA</t>
        </is>
      </c>
      <c r="C4" s="130" t="inlineStr">
        <is>
          <t>Identificar e divulgar editais de fomento à infraestrutura</t>
        </is>
      </c>
      <c r="D4" s="130" t="inlineStr">
        <is>
          <t>Assegurar infraestrutura adequada para realização das atividades</t>
        </is>
      </c>
      <c r="E4" s="130" t="inlineStr">
        <is>
          <t>Coordenação MPEA</t>
        </is>
      </c>
      <c r="F4" s="130" t="n"/>
      <c r="G4" s="130" t="n"/>
      <c r="H4" s="130" t="n"/>
      <c r="I4" s="130" t="n"/>
      <c r="J4" s="130" t="inlineStr">
        <is>
          <t>EM ANDAMENTO</t>
        </is>
      </c>
      <c r="K4" s="130" t="n"/>
      <c r="L4" s="130" t="inlineStr">
        <is>
          <t>OKR5</t>
        </is>
      </c>
      <c r="M4" s="130" t="inlineStr"/>
      <c r="N4" s="130" t="inlineStr">
        <is>
          <t>Fortalecer inserção regional/nacional, visibilidade e popularização da ciência (rede, liderança, site, eventos, educação básica)</t>
        </is>
      </c>
      <c r="O4" s="130">
        <f>IF(M4&lt;&gt;"",M4,L4)</f>
        <v/>
      </c>
    </row>
    <row r="5">
      <c r="A5" s="130" t="n">
        <v>4</v>
      </c>
      <c r="B5" s="130" t="inlineStr">
        <is>
          <t>PROGRAMA</t>
        </is>
      </c>
      <c r="C5" s="130" t="inlineStr">
        <is>
          <t>Submeter projetos para editais de infraestrutura</t>
        </is>
      </c>
      <c r="D5" s="130" t="n"/>
      <c r="E5" s="130" t="inlineStr">
        <is>
          <t>Coordenação MPEA</t>
        </is>
      </c>
      <c r="F5" s="130" t="n"/>
      <c r="G5" s="130" t="n"/>
      <c r="H5" s="130" t="n"/>
      <c r="I5" s="130" t="n"/>
      <c r="J5" s="130" t="inlineStr">
        <is>
          <t>EM ANDAMENTO</t>
        </is>
      </c>
      <c r="K5" s="130" t="n"/>
      <c r="L5" s="130" t="inlineStr">
        <is>
          <t>OKR1</t>
        </is>
      </c>
      <c r="M5" s="130" t="inlineStr"/>
      <c r="N5" s="130" t="inlineStr">
        <is>
          <t>Consolidar identidade e condições de funcionamento (missão, LP/LACT, infraestrutura, DP) com autoavaliação e planejamento executável</t>
        </is>
      </c>
      <c r="O5" s="130">
        <f>IF(M5&lt;&gt;"",M5,L5)</f>
        <v/>
      </c>
    </row>
    <row r="6">
      <c r="A6" s="130" t="n">
        <v>5</v>
      </c>
      <c r="B6" s="130" t="inlineStr">
        <is>
          <t>PROGRAMA</t>
        </is>
      </c>
      <c r="C6" s="130" t="inlineStr">
        <is>
          <t xml:space="preserve">Listar os docentes contemplados em editais </t>
        </is>
      </c>
      <c r="D6" s="130" t="inlineStr">
        <is>
          <t>Assegurar infraestrutura adequada para realização das atividades</t>
        </is>
      </c>
      <c r="E6" s="130" t="inlineStr">
        <is>
          <t>Comissão de Credenciamento e Acompanhamento Docente</t>
        </is>
      </c>
      <c r="F6" s="130" t="n"/>
      <c r="G6" s="130" t="n"/>
      <c r="H6" s="130" t="n"/>
      <c r="I6" s="130" t="n"/>
      <c r="J6" s="130" t="inlineStr">
        <is>
          <t>EM ANDAMENTO</t>
        </is>
      </c>
      <c r="K6" s="130" t="n"/>
      <c r="L6" s="130" t="inlineStr">
        <is>
          <t>OKR1</t>
        </is>
      </c>
      <c r="M6" s="130" t="inlineStr"/>
      <c r="N6" s="130" t="inlineStr">
        <is>
          <t>Consolidar identidade e condições de funcionamento (missão, LP/LACT, infraestrutura, DP) com autoavaliação e planejamento executável</t>
        </is>
      </c>
      <c r="O6" s="130">
        <f>IF(M6&lt;&gt;"",M6,L6)</f>
        <v/>
      </c>
    </row>
    <row r="7">
      <c r="A7" s="130" t="n">
        <v>6</v>
      </c>
      <c r="B7" s="130" t="inlineStr">
        <is>
          <t>PROGRAMA</t>
        </is>
      </c>
      <c r="C7" s="130" t="inlineStr">
        <is>
          <t>Manter critérios mínimos de engajamento e permanência docente, além dos critérios estabelecidos pela CAPES (publicação)</t>
        </is>
      </c>
      <c r="D7" s="130" t="inlineStr">
        <is>
          <t>Estimular a participação do docente em todas as atividades do programa</t>
        </is>
      </c>
      <c r="E7" s="130" t="inlineStr">
        <is>
          <t>Comissão de Credenciamento e Acompanhamento Docente</t>
        </is>
      </c>
      <c r="F7" s="130" t="n"/>
      <c r="G7" s="130" t="n"/>
      <c r="H7" s="130" t="n"/>
      <c r="I7" s="130" t="n"/>
      <c r="J7" s="130" t="inlineStr">
        <is>
          <t>EM ANDAMENTO</t>
        </is>
      </c>
      <c r="K7" s="130" t="n"/>
      <c r="L7" s="130" t="inlineStr">
        <is>
          <t>OKR1</t>
        </is>
      </c>
      <c r="M7" s="130" t="inlineStr"/>
      <c r="N7" s="130" t="inlineStr">
        <is>
          <t>Consolidar identidade e condições de funcionamento (missão, LP/LACT, infraestrutura, DP) com autoavaliação e planejamento executável</t>
        </is>
      </c>
      <c r="O7" s="130">
        <f>IF(M7&lt;&gt;"",M7,L7)</f>
        <v/>
      </c>
    </row>
    <row r="8">
      <c r="A8" s="130" t="n">
        <v>7</v>
      </c>
      <c r="B8" s="130" t="inlineStr">
        <is>
          <t>PROGRAMA</t>
        </is>
      </c>
      <c r="C8" s="130" t="inlineStr">
        <is>
          <t>Atualizar e monitorar o planejamento estratégico</t>
        </is>
      </c>
      <c r="D8" s="130" t="inlineStr">
        <is>
          <t>Melhorar o andamento do programa</t>
        </is>
      </c>
      <c r="E8" s="130" t="inlineStr">
        <is>
          <t>Comissão de Monitoramento do Planejamento Estratégico</t>
        </is>
      </c>
      <c r="F8" s="130" t="n"/>
      <c r="G8" s="130" t="n"/>
      <c r="H8" s="130" t="n"/>
      <c r="I8" s="130" t="n"/>
      <c r="J8" s="130" t="inlineStr">
        <is>
          <t>EM ANDAMENTO</t>
        </is>
      </c>
      <c r="K8" s="130" t="n"/>
      <c r="L8" s="130" t="inlineStr">
        <is>
          <t>OKR1</t>
        </is>
      </c>
      <c r="M8" s="130" t="inlineStr"/>
      <c r="N8" s="130" t="inlineStr">
        <is>
          <t>Consolidar identidade e condições de funcionamento (missão, LP/LACT, infraestrutura, DP) com autoavaliação e planejamento executável</t>
        </is>
      </c>
      <c r="O8" s="130">
        <f>IF(M8&lt;&gt;"",M8,L8)</f>
        <v/>
      </c>
    </row>
    <row r="9">
      <c r="A9" s="130" t="n">
        <v>8</v>
      </c>
      <c r="B9" s="130" t="inlineStr">
        <is>
          <t>PROGRAMA</t>
        </is>
      </c>
      <c r="C9" s="130" t="inlineStr">
        <is>
          <t>Apresentar a evolução do planejamento estratégico do MPEA a cada semestre</t>
        </is>
      </c>
      <c r="D9" s="130" t="inlineStr">
        <is>
          <t>Disseminar  as ações do programa</t>
        </is>
      </c>
      <c r="E9" s="130" t="inlineStr">
        <is>
          <t>Comissão de Monitoramento do Planejamento Estratégico</t>
        </is>
      </c>
      <c r="F9" s="130" t="n"/>
      <c r="G9" s="130" t="n"/>
      <c r="H9" s="130" t="n"/>
      <c r="I9" s="130" t="n"/>
      <c r="J9" s="130" t="inlineStr">
        <is>
          <t>EM ANDAMENTO</t>
        </is>
      </c>
      <c r="K9" s="130" t="n"/>
      <c r="L9" s="130" t="inlineStr">
        <is>
          <t>OKR5</t>
        </is>
      </c>
      <c r="M9" s="130" t="inlineStr"/>
      <c r="N9" s="130" t="inlineStr">
        <is>
          <t>Fortalecer inserção regional/nacional, visibilidade e popularização da ciência (rede, liderança, site, eventos, educação básica)</t>
        </is>
      </c>
      <c r="O9" s="130">
        <f>IF(M9&lt;&gt;"",M9,L9)</f>
        <v/>
      </c>
    </row>
    <row r="10">
      <c r="A10" s="130" t="n">
        <v>9</v>
      </c>
      <c r="B10" s="130" t="inlineStr">
        <is>
          <t>PROGRAMA</t>
        </is>
      </c>
      <c r="C10" s="130" t="inlineStr">
        <is>
          <t>Aprovação do Doutorado Profissional</t>
        </is>
      </c>
      <c r="D10" s="130" t="inlineStr">
        <is>
          <t>Doutorado Profissional</t>
        </is>
      </c>
      <c r="E10" s="130" t="inlineStr">
        <is>
          <t>Coordenação do MPEA</t>
        </is>
      </c>
      <c r="F10" s="130" t="n"/>
      <c r="G10" s="130" t="n"/>
      <c r="H10" s="130" t="n"/>
      <c r="I10" s="130" t="n"/>
      <c r="J10" s="130" t="inlineStr">
        <is>
          <t>PENDENTE</t>
        </is>
      </c>
      <c r="K10" s="130" t="n"/>
      <c r="L10" s="130" t="inlineStr">
        <is>
          <t>OKR1</t>
        </is>
      </c>
      <c r="M10" s="130" t="inlineStr"/>
      <c r="N10" s="130" t="inlineStr">
        <is>
          <t>Consolidar identidade e condições de funcionamento (missão, LP/LACT, infraestrutura, DP) com autoavaliação e planejamento executável</t>
        </is>
      </c>
      <c r="O10" s="130">
        <f>IF(M10&lt;&gt;"",M10,L10)</f>
        <v/>
      </c>
    </row>
    <row r="11">
      <c r="A11" s="130" t="n">
        <v>10</v>
      </c>
      <c r="B11" s="130" t="inlineStr">
        <is>
          <t>PROGRAMA</t>
        </is>
      </c>
      <c r="C11" s="130" t="inlineStr">
        <is>
          <t>Estabelecer critérios para seleção de campos de prática e preceptores</t>
        </is>
      </c>
      <c r="D11" s="130" t="n"/>
      <c r="E11" s="130" t="inlineStr">
        <is>
          <t>Coordenação do MPEA</t>
        </is>
      </c>
      <c r="F11" s="130" t="n"/>
      <c r="G11" s="130" t="n"/>
      <c r="H11" s="130" t="n"/>
      <c r="I11" s="130" t="n"/>
      <c r="J11" s="130" t="inlineStr">
        <is>
          <t>PENDENTE</t>
        </is>
      </c>
      <c r="K11" s="130" t="n"/>
      <c r="L11" s="130" t="inlineStr">
        <is>
          <t>OKR2</t>
        </is>
      </c>
      <c r="M11" s="130" t="inlineStr"/>
      <c r="N11" s="130" t="inlineStr">
        <is>
          <t>Elevar qualidade da formação e produção intelectual para padrão nota 6 (A1/A2, participação discente/egresso, teses/dissertações de destaque)</t>
        </is>
      </c>
      <c r="O11" s="130">
        <f>IF(M11&lt;&gt;"",M11,L11)</f>
        <v/>
      </c>
    </row>
    <row r="12">
      <c r="A12" s="130" t="n">
        <v>11</v>
      </c>
      <c r="B12" s="130" t="inlineStr">
        <is>
          <t>PROGRAMA</t>
        </is>
      </c>
      <c r="C12" s="130" t="inlineStr">
        <is>
          <t>Elencar os egressos do doutorado acadêmico para selecionar possíveis preceptores</t>
        </is>
      </c>
      <c r="D12" s="130" t="n"/>
      <c r="E12" s="130" t="inlineStr">
        <is>
          <t>Coordenação do MPEA</t>
        </is>
      </c>
      <c r="F12" s="130" t="n"/>
      <c r="G12" s="130" t="n"/>
      <c r="H12" s="130" t="n"/>
      <c r="I12" s="130" t="n"/>
      <c r="J12" s="130" t="inlineStr">
        <is>
          <t>PENDENTE</t>
        </is>
      </c>
      <c r="K12" s="130" t="n"/>
      <c r="L12" s="130" t="inlineStr">
        <is>
          <t>OKR2</t>
        </is>
      </c>
      <c r="M12" s="130" t="inlineStr"/>
      <c r="N12" s="130" t="inlineStr">
        <is>
          <t>Elevar qualidade da formação e produção intelectual para padrão nota 6 (A1/A2, participação discente/egresso, teses/dissertações de destaque)</t>
        </is>
      </c>
      <c r="O12" s="130">
        <f>IF(M12&lt;&gt;"",M12,L12)</f>
        <v/>
      </c>
    </row>
    <row r="13">
      <c r="A13" s="130" t="n">
        <v>12</v>
      </c>
      <c r="B13" s="130" t="inlineStr">
        <is>
          <t>PROGRAMA</t>
        </is>
      </c>
      <c r="C13" s="130" t="inlineStr">
        <is>
          <t>Captar e estabelecer incentivo para preceptores</t>
        </is>
      </c>
      <c r="D13" s="130" t="n"/>
      <c r="E13" s="130" t="inlineStr">
        <is>
          <t>Coordenação do MPEA</t>
        </is>
      </c>
      <c r="F13" s="130" t="n"/>
      <c r="G13" s="130" t="n"/>
      <c r="H13" s="130" t="n"/>
      <c r="I13" s="130" t="n"/>
      <c r="J13" s="130" t="inlineStr">
        <is>
          <t>PENDENTE</t>
        </is>
      </c>
      <c r="K13" s="130" t="n"/>
      <c r="L13" s="130" t="inlineStr">
        <is>
          <t>OKR1</t>
        </is>
      </c>
      <c r="M13" s="130" t="inlineStr"/>
      <c r="N13" s="130" t="inlineStr">
        <is>
          <t>Consolidar identidade e condições de funcionamento (missão, LP/LACT, infraestrutura, DP) com autoavaliação e planejamento executável</t>
        </is>
      </c>
      <c r="O13" s="130">
        <f>IF(M13&lt;&gt;"",M13,L13)</f>
        <v/>
      </c>
    </row>
    <row r="14">
      <c r="A14" s="130" t="n">
        <v>13</v>
      </c>
      <c r="B14" s="130" t="inlineStr">
        <is>
          <t>PROGRAMA</t>
        </is>
      </c>
      <c r="C14" s="130" t="inlineStr">
        <is>
          <t>Estreitar parcerias com gestores de instituições públicas e privadas</t>
        </is>
      </c>
      <c r="D14" s="130" t="n"/>
      <c r="E14" s="130" t="inlineStr">
        <is>
          <t>Coordenação do MPEA</t>
        </is>
      </c>
      <c r="F14" s="130" t="n"/>
      <c r="G14" s="130" t="n"/>
      <c r="H14" s="130" t="n"/>
      <c r="I14" s="130" t="n"/>
      <c r="J14" s="130" t="inlineStr">
        <is>
          <t>EM ANDAMENTO</t>
        </is>
      </c>
      <c r="K14" s="130" t="n"/>
      <c r="L14" s="130" t="inlineStr">
        <is>
          <t>OKR3</t>
        </is>
      </c>
      <c r="M14" s="130" t="inlineStr"/>
      <c r="N14" s="130" t="inlineStr">
        <is>
          <t>Demonstrar impacto social/tecnológico mensurável (casos de impacto, transferência, parcerias com serviços)</t>
        </is>
      </c>
      <c r="O14" s="130">
        <f>IF(M14&lt;&gt;"",M14,L14)</f>
        <v/>
      </c>
    </row>
    <row r="15">
      <c r="A15" s="130" t="n">
        <v>14</v>
      </c>
      <c r="B15" s="130" t="inlineStr">
        <is>
          <t>PROGRAMA</t>
        </is>
      </c>
      <c r="C15" s="130" t="inlineStr">
        <is>
          <t>Rever a matriz curricular incorporando a prática avançada</t>
        </is>
      </c>
      <c r="D15" s="130" t="n"/>
      <c r="E15" s="130" t="inlineStr">
        <is>
          <t>Coordenação do MPEA</t>
        </is>
      </c>
      <c r="F15" s="130" t="n"/>
      <c r="G15" s="130" t="n"/>
      <c r="H15" s="130" t="n"/>
      <c r="I15" s="130" t="n"/>
      <c r="J15" s="130" t="inlineStr">
        <is>
          <t>PENDENTE</t>
        </is>
      </c>
      <c r="K15" s="130" t="n"/>
      <c r="L15" s="130" t="inlineStr">
        <is>
          <t>OKR2</t>
        </is>
      </c>
      <c r="M15" s="130" t="inlineStr"/>
      <c r="N15" s="130" t="inlineStr">
        <is>
          <t>Elevar qualidade da formação e produção intelectual para padrão nota 6 (A1/A2, participação discente/egresso, teses/dissertações de destaque)</t>
        </is>
      </c>
      <c r="O15" s="130">
        <f>IF(M15&lt;&gt;"",M15,L15)</f>
        <v/>
      </c>
    </row>
    <row r="16">
      <c r="A16" s="130" t="n">
        <v>15</v>
      </c>
      <c r="B16" s="130" t="inlineStr">
        <is>
          <t>PROGRAMA</t>
        </is>
      </c>
      <c r="C16" s="130" t="inlineStr">
        <is>
          <t>Implementar estratégias para acompanhamento de egressos (criação de comunidades, descontos em cursos e eventos)</t>
        </is>
      </c>
      <c r="D16" s="130" t="n"/>
      <c r="E16" s="130" t="inlineStr">
        <is>
          <t>Comissão de Acompanhamento de Egressos</t>
        </is>
      </c>
      <c r="F16" s="130" t="n"/>
      <c r="G16" s="130" t="n"/>
      <c r="H16" s="130" t="n"/>
      <c r="I16" s="130" t="n"/>
      <c r="J16" s="130" t="inlineStr">
        <is>
          <t>PENDENTE</t>
        </is>
      </c>
      <c r="K16" s="130" t="n"/>
      <c r="L16" s="130" t="inlineStr">
        <is>
          <t>OKR2</t>
        </is>
      </c>
      <c r="M16" s="130" t="inlineStr"/>
      <c r="N16" s="130" t="inlineStr">
        <is>
          <t>Elevar qualidade da formação e produção intelectual para padrão nota 6 (A1/A2, participação discente/egresso, teses/dissertações de destaque)</t>
        </is>
      </c>
      <c r="O16" s="130">
        <f>IF(M16&lt;&gt;"",M16,L16)</f>
        <v/>
      </c>
    </row>
    <row r="17">
      <c r="A17" s="130" t="n">
        <v>16</v>
      </c>
      <c r="B17" s="130" t="inlineStr">
        <is>
          <t>PROGRAMA</t>
        </is>
      </c>
      <c r="C17" s="130" t="inlineStr">
        <is>
          <t>Criação de evento anual para integração de egressos e alunos do Programa</t>
        </is>
      </c>
      <c r="D17" s="130" t="n"/>
      <c r="E17" s="130" t="inlineStr">
        <is>
          <t>Comissão de Acompanhamento de Egressos</t>
        </is>
      </c>
      <c r="F17" s="130" t="n"/>
      <c r="G17" s="130" t="n"/>
      <c r="H17" s="130" t="n"/>
      <c r="I17" s="130" t="n"/>
      <c r="J17" s="130" t="inlineStr">
        <is>
          <t>PENDENTE</t>
        </is>
      </c>
      <c r="K17" s="130" t="n"/>
      <c r="L17" s="130" t="inlineStr">
        <is>
          <t>OKR2</t>
        </is>
      </c>
      <c r="M17" s="130" t="inlineStr"/>
      <c r="N17" s="130" t="inlineStr">
        <is>
          <t>Elevar qualidade da formação e produção intelectual para padrão nota 6 (A1/A2, participação discente/egresso, teses/dissertações de destaque)</t>
        </is>
      </c>
      <c r="O17" s="130">
        <f>IF(M17&lt;&gt;"",M17,L17)</f>
        <v/>
      </c>
    </row>
    <row r="18">
      <c r="A18" s="130" t="n">
        <v>17</v>
      </c>
      <c r="B18" s="130" t="inlineStr">
        <is>
          <t>PROGRAMA</t>
        </is>
      </c>
      <c r="C18" s="130" t="inlineStr">
        <is>
          <t>Estabelecer estratégiais para conscientização do discente em relação ao compromisso com o Programa mesmo após a finalização do curso</t>
        </is>
      </c>
      <c r="D18" s="130" t="n"/>
      <c r="E18" s="130" t="inlineStr">
        <is>
          <t>Comissão de Acompanhamento Discente</t>
        </is>
      </c>
      <c r="F18" s="130" t="n"/>
      <c r="G18" s="130" t="n"/>
      <c r="H18" s="130" t="n"/>
      <c r="I18" s="130" t="n"/>
      <c r="J18" s="130" t="inlineStr">
        <is>
          <t>EM ANDAMENTO</t>
        </is>
      </c>
      <c r="K18" s="130" t="n"/>
      <c r="L18" s="130" t="inlineStr">
        <is>
          <t>OKR2</t>
        </is>
      </c>
      <c r="M18" s="130" t="inlineStr"/>
      <c r="N18" s="130" t="inlineStr">
        <is>
          <t>Elevar qualidade da formação e produção intelectual para padrão nota 6 (A1/A2, participação discente/egresso, teses/dissertações de destaque)</t>
        </is>
      </c>
      <c r="O18" s="130">
        <f>IF(M18&lt;&gt;"",M18,L18)</f>
        <v/>
      </c>
    </row>
    <row r="19">
      <c r="A19" s="130" t="n">
        <v>18</v>
      </c>
      <c r="B19" s="130" t="inlineStr">
        <is>
          <t>PROGRAMA</t>
        </is>
      </c>
      <c r="C19" s="130" t="inlineStr">
        <is>
          <t xml:space="preserve">Formação de grupos de trabalho para utilização do prédio de medicina </t>
        </is>
      </c>
      <c r="D19" s="130" t="n"/>
      <c r="E19" s="130" t="inlineStr">
        <is>
          <t>Coordenação do MPEA</t>
        </is>
      </c>
      <c r="F19" s="130" t="n"/>
      <c r="G19" s="130" t="n"/>
      <c r="H19" s="130" t="n"/>
      <c r="I19" s="130" t="n"/>
      <c r="J19" s="130" t="inlineStr">
        <is>
          <t>PENDENTE</t>
        </is>
      </c>
      <c r="K19" s="130" t="n"/>
      <c r="L19" s="130" t="inlineStr">
        <is>
          <t>OKR2</t>
        </is>
      </c>
      <c r="M19" s="130" t="inlineStr"/>
      <c r="N19" s="130" t="inlineStr">
        <is>
          <t>Elevar qualidade da formação e produção intelectual para padrão nota 6 (A1/A2, participação discente/egresso, teses/dissertações de destaque)</t>
        </is>
      </c>
      <c r="O19" s="130">
        <f>IF(M19&lt;&gt;"",M19,L19)</f>
        <v/>
      </c>
    </row>
    <row r="20">
      <c r="A20" s="130" t="n">
        <v>19</v>
      </c>
      <c r="B20" s="130" t="inlineStr">
        <is>
          <t>PROGRAMA</t>
        </is>
      </c>
      <c r="C20" s="130" t="inlineStr">
        <is>
          <t>Estabelecer parcerias com outras unidades e áreas correlatas (interdisciplinaridade)</t>
        </is>
      </c>
      <c r="D20" s="130" t="n"/>
      <c r="E20" s="130" t="inlineStr">
        <is>
          <t>Coordenação do MPEA</t>
        </is>
      </c>
      <c r="F20" s="130" t="n"/>
      <c r="G20" s="130" t="n"/>
      <c r="H20" s="130" t="n"/>
      <c r="I20" s="130" t="n"/>
      <c r="J20" s="130" t="inlineStr">
        <is>
          <t>EM ANDAMENTO</t>
        </is>
      </c>
      <c r="K20" s="130" t="n"/>
      <c r="L20" s="130" t="inlineStr">
        <is>
          <t>OKR2</t>
        </is>
      </c>
      <c r="M20" s="130" t="inlineStr"/>
      <c r="N20" s="130" t="inlineStr">
        <is>
          <t>Elevar qualidade da formação e produção intelectual para padrão nota 6 (A1/A2, participação discente/egresso, teses/dissertações de destaque)</t>
        </is>
      </c>
      <c r="O20" s="130">
        <f>IF(M20&lt;&gt;"",M20,L20)</f>
        <v/>
      </c>
    </row>
    <row r="21">
      <c r="A21" s="130" t="n">
        <v>20</v>
      </c>
      <c r="B21" s="130" t="inlineStr">
        <is>
          <t>PROGRAMA</t>
        </is>
      </c>
      <c r="C21" s="130" t="inlineStr">
        <is>
          <t>Estabelecer maior diálogo com os espaços de construção e implementação de Políticas Públicas</t>
        </is>
      </c>
      <c r="D21" s="130" t="n"/>
      <c r="E21" s="130" t="inlineStr">
        <is>
          <t>Coordenação do MPEA</t>
        </is>
      </c>
      <c r="F21" s="130" t="n"/>
      <c r="G21" s="130" t="n"/>
      <c r="H21" s="130" t="n"/>
      <c r="I21" s="130" t="n"/>
      <c r="J21" s="130" t="inlineStr">
        <is>
          <t>EM ANDAMENTO</t>
        </is>
      </c>
      <c r="K21" s="130" t="n"/>
      <c r="L21" s="130" t="inlineStr">
        <is>
          <t>OKR2</t>
        </is>
      </c>
      <c r="M21" s="130" t="inlineStr"/>
      <c r="N21" s="130" t="inlineStr">
        <is>
          <t>Elevar qualidade da formação e produção intelectual para padrão nota 6 (A1/A2, participação discente/egresso, teses/dissertações de destaque)</t>
        </is>
      </c>
      <c r="O21" s="130">
        <f>IF(M21&lt;&gt;"",M21,L21)</f>
        <v/>
      </c>
    </row>
    <row r="22">
      <c r="A22" s="130" t="n">
        <v>21</v>
      </c>
      <c r="B22" s="130" t="inlineStr">
        <is>
          <t>PROGRAMA</t>
        </is>
      </c>
      <c r="C22" s="130" t="inlineStr">
        <is>
          <t>Criação de disciplinas em línguas estrangeiras</t>
        </is>
      </c>
      <c r="D22" s="130" t="n"/>
      <c r="E22" s="130" t="inlineStr">
        <is>
          <t>Coordenação do MPEA</t>
        </is>
      </c>
      <c r="F22" s="130" t="n"/>
      <c r="G22" s="130" t="n"/>
      <c r="H22" s="130" t="n"/>
      <c r="I22" s="130" t="n"/>
      <c r="J22" s="130" t="inlineStr">
        <is>
          <t>PENDENTE</t>
        </is>
      </c>
      <c r="K22" s="130" t="n"/>
      <c r="L22" s="130" t="inlineStr">
        <is>
          <t>OKR4</t>
        </is>
      </c>
      <c r="M22" s="130" t="inlineStr"/>
      <c r="N22" s="130" t="inlineStr">
        <is>
          <t>Estruturar internacionalização qualitativa e sustentável (ações DP, coautoria, disciplinas em outro idioma, mobilidade, cotutela)</t>
        </is>
      </c>
      <c r="O22" s="130">
        <f>IF(M22&lt;&gt;"",M22,L22)</f>
        <v/>
      </c>
    </row>
    <row r="23">
      <c r="A23" s="130" t="n">
        <v>22</v>
      </c>
      <c r="B23" s="130" t="inlineStr">
        <is>
          <t>PROGRAMA</t>
        </is>
      </c>
      <c r="C23" s="130" t="inlineStr">
        <is>
          <t>Criação de disciplinas com perspectivas interdisciplinares</t>
        </is>
      </c>
      <c r="D23" s="130" t="n"/>
      <c r="E23" s="130" t="inlineStr">
        <is>
          <t>Coordenação do MPEA</t>
        </is>
      </c>
      <c r="F23" s="130" t="n"/>
      <c r="G23" s="130" t="n"/>
      <c r="H23" s="130" t="n"/>
      <c r="I23" s="130" t="n"/>
      <c r="J23" s="130" t="inlineStr">
        <is>
          <t>PENDENTE</t>
        </is>
      </c>
      <c r="K23" s="130" t="n"/>
      <c r="L23" s="130" t="inlineStr">
        <is>
          <t>OKR2</t>
        </is>
      </c>
      <c r="M23" s="130" t="inlineStr"/>
      <c r="N23" s="130" t="inlineStr">
        <is>
          <t>Elevar qualidade da formação e produção intelectual para padrão nota 6 (A1/A2, participação discente/egresso, teses/dissertações de destaque)</t>
        </is>
      </c>
      <c r="O23" s="130">
        <f>IF(M23&lt;&gt;"",M23,L23)</f>
        <v/>
      </c>
    </row>
    <row r="24">
      <c r="A24" s="130" t="n">
        <v>23</v>
      </c>
      <c r="B24" s="130" t="inlineStr">
        <is>
          <t>PROGRAMA</t>
        </is>
      </c>
      <c r="C24" s="130" t="inlineStr">
        <is>
          <t>Criação de disciplinas para a prática avançada</t>
        </is>
      </c>
      <c r="D24" s="130" t="n"/>
      <c r="E24" s="130" t="inlineStr">
        <is>
          <t>Comissão Transitória APCN</t>
        </is>
      </c>
      <c r="F24" s="130" t="n"/>
      <c r="G24" s="130" t="n"/>
      <c r="H24" s="130" t="n"/>
      <c r="I24" s="130" t="n"/>
      <c r="J24" s="130" t="inlineStr">
        <is>
          <t>PENDENTE</t>
        </is>
      </c>
      <c r="K24" s="130" t="n"/>
      <c r="L24" s="130" t="inlineStr">
        <is>
          <t>OKR2</t>
        </is>
      </c>
      <c r="M24" s="130" t="inlineStr"/>
      <c r="N24" s="130" t="inlineStr">
        <is>
          <t>Elevar qualidade da formação e produção intelectual para padrão nota 6 (A1/A2, participação discente/egresso, teses/dissertações de destaque)</t>
        </is>
      </c>
      <c r="O24" s="130">
        <f>IF(M24&lt;&gt;"",M24,L24)</f>
        <v/>
      </c>
    </row>
    <row r="25">
      <c r="A25" s="130" t="n">
        <v>24</v>
      </c>
      <c r="B25" s="130" t="inlineStr">
        <is>
          <t>PROGRAMA</t>
        </is>
      </c>
      <c r="C25" s="130" t="inlineStr">
        <is>
          <t xml:space="preserve">Melhorar a infraestrutura do Programa (ausência de laboratórios e campos de prática, precariedade dos recursos de informática) </t>
        </is>
      </c>
      <c r="D25" s="130" t="n"/>
      <c r="E25" s="130" t="inlineStr">
        <is>
          <t>Coordenação do MPEA</t>
        </is>
      </c>
      <c r="F25" s="130" t="n"/>
      <c r="G25" s="130" t="n"/>
      <c r="H25" s="130" t="n"/>
      <c r="I25" s="130" t="n"/>
      <c r="J25" s="130" t="inlineStr">
        <is>
          <t>PENDENTE</t>
        </is>
      </c>
      <c r="K25" s="130" t="n"/>
      <c r="L25" s="130" t="inlineStr">
        <is>
          <t>OKR1</t>
        </is>
      </c>
      <c r="M25" s="130" t="inlineStr"/>
      <c r="N25" s="130" t="inlineStr">
        <is>
          <t>Consolidar identidade e condições de funcionamento (missão, LP/LACT, infraestrutura, DP) com autoavaliação e planejamento executável</t>
        </is>
      </c>
      <c r="O25" s="130">
        <f>IF(M25&lt;&gt;"",M25,L25)</f>
        <v/>
      </c>
    </row>
    <row r="26">
      <c r="A26" s="130" t="n">
        <v>25</v>
      </c>
      <c r="B26" s="130" t="inlineStr">
        <is>
          <t>PROGRAMA</t>
        </is>
      </c>
      <c r="C26" s="130" t="inlineStr">
        <is>
          <t>Credenciar docentes com dedicação exclusiva ao Programa e atuantes na atenção primária</t>
        </is>
      </c>
      <c r="D26" s="130" t="n"/>
      <c r="E26" s="130" t="inlineStr">
        <is>
          <t>Comissão de Credenciamento e Acompanhamento Docente</t>
        </is>
      </c>
      <c r="F26" s="130" t="n"/>
      <c r="G26" s="130" t="n"/>
      <c r="H26" s="130" t="n"/>
      <c r="I26" s="130" t="n"/>
      <c r="J26" s="130" t="inlineStr">
        <is>
          <t>PENDENTE</t>
        </is>
      </c>
      <c r="K26" s="130" t="n"/>
      <c r="L26" s="130" t="inlineStr">
        <is>
          <t>OKR5</t>
        </is>
      </c>
      <c r="M26" s="130" t="inlineStr"/>
      <c r="N26" s="130" t="inlineStr">
        <is>
          <t>Fortalecer inserção regional/nacional, visibilidade e popularização da ciência (rede, liderança, site, eventos, educação básica)</t>
        </is>
      </c>
      <c r="O26" s="130">
        <f>IF(M26&lt;&gt;"",M26,L26)</f>
        <v/>
      </c>
    </row>
    <row r="27">
      <c r="A27" s="130" t="n">
        <v>26</v>
      </c>
      <c r="B27" s="130" t="inlineStr">
        <is>
          <t>PROGRAMA</t>
        </is>
      </c>
      <c r="C27" s="130" t="inlineStr">
        <is>
          <t xml:space="preserve">Realizar avaliação quantitativa e qualitativa de riscos </t>
        </is>
      </c>
      <c r="D27" s="130" t="n"/>
      <c r="E27" s="130" t="inlineStr">
        <is>
          <t>Comissão de Monitoramento do Planejamento Estratégico</t>
        </is>
      </c>
      <c r="F27" s="130" t="n"/>
      <c r="G27" s="130" t="n"/>
      <c r="H27" s="130" t="n"/>
      <c r="I27" s="130" t="n"/>
      <c r="J27" s="130" t="inlineStr">
        <is>
          <t>PENDENTE</t>
        </is>
      </c>
      <c r="K27" s="130" t="n"/>
      <c r="L27" s="130" t="inlineStr">
        <is>
          <t>OKR1</t>
        </is>
      </c>
      <c r="M27" s="130" t="inlineStr"/>
      <c r="N27" s="130" t="inlineStr">
        <is>
          <t>Consolidar identidade e condições de funcionamento (missão, LP/LACT, infraestrutura, DP) com autoavaliação e planejamento executável</t>
        </is>
      </c>
      <c r="O27" s="130">
        <f>IF(M27&lt;&gt;"",M27,L27)</f>
        <v/>
      </c>
    </row>
    <row r="28">
      <c r="A28" s="130" t="n">
        <v>27</v>
      </c>
      <c r="B28" s="130" t="inlineStr">
        <is>
          <t>PROGRAMA</t>
        </is>
      </c>
      <c r="C28" s="130" t="inlineStr">
        <is>
          <t>Identificar as estratégias de ensino com uso de metodologias ativas utilizadas pelo corpo docente do MPEA</t>
        </is>
      </c>
      <c r="D28" s="130" t="inlineStr">
        <is>
          <t>Atender à recomendação de ensino inovador da CAPES</t>
        </is>
      </c>
      <c r="E28" s="130" t="inlineStr">
        <is>
          <t>Comissão de Credenciamento e Acompanhamento Docente</t>
        </is>
      </c>
      <c r="F28" s="130" t="n"/>
      <c r="G28" s="130" t="n"/>
      <c r="H28" s="130" t="n"/>
      <c r="I28" s="130" t="n"/>
      <c r="J28" s="130" t="inlineStr">
        <is>
          <t>EM ANDAMENTO</t>
        </is>
      </c>
      <c r="K28" s="130" t="n"/>
      <c r="L28" s="130" t="inlineStr">
        <is>
          <t>OKR1</t>
        </is>
      </c>
      <c r="M28" s="130" t="inlineStr"/>
      <c r="N28" s="130" t="inlineStr">
        <is>
          <t>Consolidar identidade e condições de funcionamento (missão, LP/LACT, infraestrutura, DP) com autoavaliação e planejamento executável</t>
        </is>
      </c>
      <c r="O28" s="130">
        <f>IF(M28&lt;&gt;"",M28,L28)</f>
        <v/>
      </c>
    </row>
    <row r="29">
      <c r="A29" s="130" t="n">
        <v>28</v>
      </c>
      <c r="B29" s="130" t="inlineStr">
        <is>
          <t>FORMAÇÃO</t>
        </is>
      </c>
      <c r="C29" s="130" t="inlineStr">
        <is>
          <t>Acompanhar produção dos egressos (acadêmica e profissional)</t>
        </is>
      </c>
      <c r="D29" s="130" t="inlineStr">
        <is>
          <t>Ter controle dos avanços obtidos pelos alunos, permitindo mensurar impacto do programa.</t>
        </is>
      </c>
      <c r="E29" s="130" t="inlineStr">
        <is>
          <t>Comissão de Acompanhamento de Egressos</t>
        </is>
      </c>
      <c r="F29" s="130" t="n"/>
      <c r="G29" s="130" t="n"/>
      <c r="H29" s="130" t="n"/>
      <c r="I29" s="130" t="n"/>
      <c r="J29" s="130" t="inlineStr">
        <is>
          <t>EM ANDAMENTO</t>
        </is>
      </c>
      <c r="K29" s="130" t="n"/>
      <c r="L29" s="130" t="inlineStr">
        <is>
          <t>OKR2</t>
        </is>
      </c>
      <c r="M29" s="130" t="inlineStr"/>
      <c r="N29" s="130" t="inlineStr">
        <is>
          <t>Elevar qualidade da formação e produção intelectual para padrão nota 6 (A1/A2, participação discente/egresso, teses/dissertações de destaque)</t>
        </is>
      </c>
      <c r="O29" s="130">
        <f>IF(M29&lt;&gt;"",M29,L29)</f>
        <v/>
      </c>
    </row>
    <row r="30">
      <c r="A30" s="130" t="n">
        <v>29</v>
      </c>
      <c r="B30" s="130" t="inlineStr">
        <is>
          <t>FORMAÇÃO</t>
        </is>
      </c>
      <c r="C30" s="130" t="inlineStr">
        <is>
          <t>Buscar demanda do corpo discente e docente acerca de capacitações necessárias</t>
        </is>
      </c>
      <c r="D30" s="130" t="n"/>
      <c r="E30" s="130" t="inlineStr">
        <is>
          <t>Coordenação do MPEA</t>
        </is>
      </c>
      <c r="F30" s="130" t="n"/>
      <c r="G30" s="130" t="n"/>
      <c r="H30" s="130" t="n"/>
      <c r="I30" s="130" t="n"/>
      <c r="J30" s="130" t="inlineStr">
        <is>
          <t>EM ANDAMENTO</t>
        </is>
      </c>
      <c r="K30" s="130" t="n"/>
      <c r="L30" s="130" t="inlineStr">
        <is>
          <t>OKR2</t>
        </is>
      </c>
      <c r="M30" s="130" t="inlineStr"/>
      <c r="N30" s="130" t="inlineStr">
        <is>
          <t>Elevar qualidade da formação e produção intelectual para padrão nota 6 (A1/A2, participação discente/egresso, teses/dissertações de destaque)</t>
        </is>
      </c>
      <c r="O30" s="130">
        <f>IF(M30&lt;&gt;"",M30,L30)</f>
        <v/>
      </c>
    </row>
    <row r="31">
      <c r="A31" s="130" t="n">
        <v>30</v>
      </c>
      <c r="B31" s="130" t="inlineStr">
        <is>
          <t>FORMAÇÃO</t>
        </is>
      </c>
      <c r="C31" s="130" t="inlineStr">
        <is>
          <t>Capacitação anual de docentes e discentes, sobre o alinhamento e mecanismos de registro dos produtos (lattes e nos órgãos reguladores).</t>
        </is>
      </c>
      <c r="D31" s="130" t="inlineStr">
        <is>
          <t>Falta de registro do produto no lattes e nos órgãos reguladores. Falta de alinhamento entre os produtos e a linha de pesquisa.</t>
        </is>
      </c>
      <c r="E31" s="130" t="inlineStr">
        <is>
          <t>Coordenação do MPEA</t>
        </is>
      </c>
      <c r="F31" s="130" t="n"/>
      <c r="G31" s="130" t="n"/>
      <c r="H31" s="130" t="n"/>
      <c r="I31" s="130" t="n"/>
      <c r="J31" s="130" t="inlineStr">
        <is>
          <t>EM ANDAMENTO</t>
        </is>
      </c>
      <c r="K31" s="130" t="n"/>
      <c r="L31" s="130" t="inlineStr">
        <is>
          <t>OKR2</t>
        </is>
      </c>
      <c r="M31" s="130" t="inlineStr"/>
      <c r="N31" s="130" t="inlineStr">
        <is>
          <t>Elevar qualidade da formação e produção intelectual para padrão nota 6 (A1/A2, participação discente/egresso, teses/dissertações de destaque)</t>
        </is>
      </c>
      <c r="O31" s="130">
        <f>IF(M31&lt;&gt;"",M31,L31)</f>
        <v/>
      </c>
    </row>
    <row r="32">
      <c r="A32" s="130" t="n">
        <v>31</v>
      </c>
      <c r="B32" s="130" t="inlineStr">
        <is>
          <t>FORMAÇÃO</t>
        </is>
      </c>
      <c r="C32" s="130" t="inlineStr">
        <is>
          <t>Incorporar na disciplina de projetos e práticas, o registro do protótipo do produto como critério de avaliação</t>
        </is>
      </c>
      <c r="D32" s="130" t="n"/>
      <c r="E32" s="130" t="inlineStr">
        <is>
          <t>Comissão de Credenciamento e Acompanhamento Docente</t>
        </is>
      </c>
      <c r="F32" s="130" t="n"/>
      <c r="G32" s="130" t="n"/>
      <c r="H32" s="130" t="n"/>
      <c r="I32" s="130" t="n"/>
      <c r="J32" s="130" t="inlineStr">
        <is>
          <t>EM ANDAMENTO</t>
        </is>
      </c>
      <c r="K32" s="130" t="n"/>
      <c r="L32" s="130" t="inlineStr">
        <is>
          <t>OKR2</t>
        </is>
      </c>
      <c r="M32" s="130" t="inlineStr"/>
      <c r="N32" s="130" t="inlineStr">
        <is>
          <t>Elevar qualidade da formação e produção intelectual para padrão nota 6 (A1/A2, participação discente/egresso, teses/dissertações de destaque)</t>
        </is>
      </c>
      <c r="O32" s="130">
        <f>IF(M32&lt;&gt;"",M32,L32)</f>
        <v/>
      </c>
    </row>
    <row r="33">
      <c r="A33" s="130" t="n">
        <v>32</v>
      </c>
      <c r="B33" s="130" t="inlineStr">
        <is>
          <t>FORMAÇÃO</t>
        </is>
      </c>
      <c r="C33" s="130" t="inlineStr">
        <is>
          <t xml:space="preserve">Sensibilização dos gestores dos serviços para implementação dos produtos na prática assistencial </t>
        </is>
      </c>
      <c r="D33" s="130" t="inlineStr">
        <is>
          <t xml:space="preserve">Falta de aplicação do produto na prática </t>
        </is>
      </c>
      <c r="E33" s="130" t="inlineStr">
        <is>
          <t>Coordenação do MPEA</t>
        </is>
      </c>
      <c r="F33" s="130" t="n"/>
      <c r="G33" s="130" t="n"/>
      <c r="H33" s="130" t="n"/>
      <c r="I33" s="130" t="n"/>
      <c r="J33" s="130" t="inlineStr">
        <is>
          <t>EM ANDAMENTO</t>
        </is>
      </c>
      <c r="K33" s="130" t="n"/>
      <c r="L33" s="130" t="inlineStr">
        <is>
          <t>OKR2</t>
        </is>
      </c>
      <c r="M33" s="130" t="inlineStr"/>
      <c r="N33" s="130" t="inlineStr">
        <is>
          <t>Elevar qualidade da formação e produção intelectual para padrão nota 6 (A1/A2, participação discente/egresso, teses/dissertações de destaque)</t>
        </is>
      </c>
      <c r="O33" s="130">
        <f>IF(M33&lt;&gt;"",M33,L33)</f>
        <v/>
      </c>
    </row>
    <row r="34">
      <c r="A34" s="130" t="n">
        <v>33</v>
      </c>
      <c r="B34" s="130" t="inlineStr">
        <is>
          <t>FORMAÇÃO</t>
        </is>
      </c>
      <c r="C34" s="130" t="inlineStr">
        <is>
          <t>Estimular participação em eventos e inscrição dos trabalhos à prêmios</t>
        </is>
      </c>
      <c r="D34" s="130" t="inlineStr">
        <is>
          <t xml:space="preserve">Poucos prêmios obtidos por discentes e egressos </t>
        </is>
      </c>
      <c r="E34" s="130" t="inlineStr">
        <is>
          <t>Comissão de Acompanhamento Discente</t>
        </is>
      </c>
      <c r="F34" s="130" t="n"/>
      <c r="G34" s="130" t="n"/>
      <c r="H34" s="130" t="n"/>
      <c r="I34" s="130" t="n"/>
      <c r="J34" s="130" t="inlineStr">
        <is>
          <t>EM ANDAMENTO</t>
        </is>
      </c>
      <c r="K34" s="130" t="n"/>
      <c r="L34" s="130" t="inlineStr">
        <is>
          <t>OKR2</t>
        </is>
      </c>
      <c r="M34" s="130" t="inlineStr"/>
      <c r="N34" s="130" t="inlineStr">
        <is>
          <t>Elevar qualidade da formação e produção intelectual para padrão nota 6 (A1/A2, participação discente/egresso, teses/dissertações de destaque)</t>
        </is>
      </c>
      <c r="O34" s="130">
        <f>IF(M34&lt;&gt;"",M34,L34)</f>
        <v/>
      </c>
    </row>
    <row r="35">
      <c r="A35" s="130" t="n">
        <v>34</v>
      </c>
      <c r="B35" s="130" t="inlineStr">
        <is>
          <t>FORMAÇÃO</t>
        </is>
      </c>
      <c r="C35" s="130" t="inlineStr">
        <is>
          <t>Divulgar a avaliação do programa e das disciplinas por parte do docentes, discentes e egressos.</t>
        </is>
      </c>
      <c r="D35" s="130" t="inlineStr">
        <is>
          <t xml:space="preserve">Falta de divulgação de avaliação do programa e das disciplinas por parte do docentes, discentes e egressos </t>
        </is>
      </c>
      <c r="E35" s="130" t="inlineStr">
        <is>
          <t>Comissão de Acompanhamento Discente</t>
        </is>
      </c>
      <c r="F35" s="130" t="n"/>
      <c r="G35" s="130" t="n"/>
      <c r="H35" s="130" t="n"/>
      <c r="I35" s="130" t="n"/>
      <c r="J35" s="130" t="inlineStr">
        <is>
          <t>EM ANDAMENTO</t>
        </is>
      </c>
      <c r="K35" s="130" t="n"/>
      <c r="L35" s="130" t="inlineStr">
        <is>
          <t>OKR2</t>
        </is>
      </c>
      <c r="M35" s="130" t="inlineStr"/>
      <c r="N35" s="130" t="inlineStr">
        <is>
          <t>Elevar qualidade da formação e produção intelectual para padrão nota 6 (A1/A2, participação discente/egresso, teses/dissertações de destaque)</t>
        </is>
      </c>
      <c r="O35" s="130">
        <f>IF(M35&lt;&gt;"",M35,L35)</f>
        <v/>
      </c>
    </row>
    <row r="36">
      <c r="A36" s="130" t="n">
        <v>35</v>
      </c>
      <c r="B36" s="130" t="inlineStr">
        <is>
          <t>FORMAÇÃO</t>
        </is>
      </c>
      <c r="C36" s="130" t="inlineStr">
        <is>
          <t>Estimular a elaborar/vinculação dos projetos de pesquisa a instituições de educação básica</t>
        </is>
      </c>
      <c r="D36" s="130" t="inlineStr">
        <is>
          <t xml:space="preserve"> Projetos docentes para educação básica </t>
        </is>
      </c>
      <c r="E36" s="130" t="inlineStr">
        <is>
          <t>Comissão de Credenciamento e Acompanhamento Docente</t>
        </is>
      </c>
      <c r="F36" s="130" t="n"/>
      <c r="G36" s="130" t="n"/>
      <c r="H36" s="130" t="n"/>
      <c r="I36" s="130" t="n"/>
      <c r="J36" s="130" t="inlineStr">
        <is>
          <t>EM ANDAMENTO</t>
        </is>
      </c>
      <c r="K36" s="130" t="n"/>
      <c r="L36" s="130" t="inlineStr">
        <is>
          <t>OKR2</t>
        </is>
      </c>
      <c r="M36" s="130" t="inlineStr"/>
      <c r="N36" s="130" t="inlineStr">
        <is>
          <t>Elevar qualidade da formação e produção intelectual para padrão nota 6 (A1/A2, participação discente/egresso, teses/dissertações de destaque)</t>
        </is>
      </c>
      <c r="O36" s="130">
        <f>IF(M36&lt;&gt;"",M36,L36)</f>
        <v/>
      </c>
    </row>
    <row r="37">
      <c r="A37" s="130" t="n">
        <v>36</v>
      </c>
      <c r="B37" s="130" t="inlineStr">
        <is>
          <t>FORMAÇÃO</t>
        </is>
      </c>
      <c r="C37" s="130" t="inlineStr">
        <is>
          <t>Concorrer edital CAPES/Cofen</t>
        </is>
      </c>
      <c r="D37" s="130" t="inlineStr">
        <is>
          <t xml:space="preserve">Falta de recurso para confecção do produto </t>
        </is>
      </c>
      <c r="E37" s="130" t="inlineStr">
        <is>
          <t>Coordenação do MPEA</t>
        </is>
      </c>
      <c r="F37" s="130" t="n"/>
      <c r="G37" s="130" t="n"/>
      <c r="H37" s="130" t="n"/>
      <c r="I37" s="130" t="n"/>
      <c r="J37" s="130" t="inlineStr">
        <is>
          <t>EM ANDAMENTO</t>
        </is>
      </c>
      <c r="K37" s="130" t="n"/>
      <c r="L37" s="130" t="inlineStr">
        <is>
          <t>OKR2</t>
        </is>
      </c>
      <c r="M37" s="130" t="inlineStr"/>
      <c r="N37" s="130" t="inlineStr">
        <is>
          <t>Elevar qualidade da formação e produção intelectual para padrão nota 6 (A1/A2, participação discente/egresso, teses/dissertações de destaque)</t>
        </is>
      </c>
      <c r="O37" s="130">
        <f>IF(M37&lt;&gt;"",M37,L37)</f>
        <v/>
      </c>
    </row>
    <row r="38">
      <c r="A38" s="130" t="n">
        <v>37</v>
      </c>
      <c r="B38" s="130" t="inlineStr">
        <is>
          <t>FORMAÇÃO</t>
        </is>
      </c>
      <c r="C38" s="130" t="inlineStr">
        <is>
          <t>Estabelecer estratégias para a permanência dos docentes no Programa</t>
        </is>
      </c>
      <c r="D38" s="130" t="n"/>
      <c r="E38" s="130" t="inlineStr">
        <is>
          <t>Comissão de Credenciamento e Acompanhamento Docente</t>
        </is>
      </c>
      <c r="F38" s="130" t="n"/>
      <c r="G38" s="130" t="n"/>
      <c r="H38" s="130" t="n"/>
      <c r="I38" s="130" t="n"/>
      <c r="J38" s="130" t="inlineStr">
        <is>
          <t>EM ANDAMENTO</t>
        </is>
      </c>
      <c r="K38" s="130" t="n"/>
      <c r="L38" s="130" t="inlineStr">
        <is>
          <t>OKR2</t>
        </is>
      </c>
      <c r="M38" s="130" t="inlineStr"/>
      <c r="N38" s="130" t="inlineStr">
        <is>
          <t>Elevar qualidade da formação e produção intelectual para padrão nota 6 (A1/A2, participação discente/egresso, teses/dissertações de destaque)</t>
        </is>
      </c>
      <c r="O38" s="130">
        <f>IF(M38&lt;&gt;"",M38,L38)</f>
        <v/>
      </c>
    </row>
    <row r="39">
      <c r="A39" s="130" t="n">
        <v>38</v>
      </c>
      <c r="B39" s="130" t="inlineStr">
        <is>
          <t>FORMAÇÃO</t>
        </is>
      </c>
      <c r="C39" s="130" t="inlineStr">
        <is>
          <t xml:space="preserve">Medida do fluxo discentes (número de entrada - de saída) </t>
        </is>
      </c>
      <c r="D39" s="130" t="inlineStr">
        <is>
          <t xml:space="preserve">QUALIDADE DAS DISSERTAÇÕES </t>
        </is>
      </c>
      <c r="E39" s="130" t="inlineStr">
        <is>
          <t>Comissão de Acompanhamento Discente</t>
        </is>
      </c>
      <c r="F39" s="130" t="n"/>
      <c r="G39" s="130" t="n"/>
      <c r="H39" s="130" t="n"/>
      <c r="I39" s="130" t="n"/>
      <c r="J39" s="130" t="inlineStr">
        <is>
          <t>EM ANDAMENTO</t>
        </is>
      </c>
      <c r="K39" s="130" t="n"/>
      <c r="L39" s="130" t="inlineStr">
        <is>
          <t>OKR2</t>
        </is>
      </c>
      <c r="M39" s="130" t="inlineStr"/>
      <c r="N39" s="130" t="inlineStr">
        <is>
          <t>Elevar qualidade da formação e produção intelectual para padrão nota 6 (A1/A2, participação discente/egresso, teses/dissertações de destaque)</t>
        </is>
      </c>
      <c r="O39" s="130">
        <f>IF(M39&lt;&gt;"",M39,L39)</f>
        <v/>
      </c>
    </row>
    <row r="40">
      <c r="A40" s="130" t="n">
        <v>39</v>
      </c>
      <c r="B40" s="130" t="inlineStr">
        <is>
          <t>FORMAÇÃO</t>
        </is>
      </c>
      <c r="C40" s="130" t="inlineStr">
        <is>
          <t>Estímulo a formação de discentes em língua estrangeira com certificação</t>
        </is>
      </c>
      <c r="D40" s="130" t="n"/>
      <c r="E40" s="130" t="inlineStr">
        <is>
          <t>Comissão de Acompanhamento Discente</t>
        </is>
      </c>
      <c r="F40" s="130" t="n"/>
      <c r="G40" s="130" t="n"/>
      <c r="H40" s="130" t="n"/>
      <c r="I40" s="130" t="n"/>
      <c r="J40" s="130" t="inlineStr">
        <is>
          <t>PENDENTE</t>
        </is>
      </c>
      <c r="K40" s="130" t="n"/>
      <c r="L40" s="130" t="inlineStr">
        <is>
          <t>OKR4</t>
        </is>
      </c>
      <c r="M40" s="130" t="inlineStr"/>
      <c r="N40" s="130" t="inlineStr">
        <is>
          <t>Estruturar internacionalização qualitativa e sustentável (ações DP, coautoria, disciplinas em outro idioma, mobilidade, cotutela)</t>
        </is>
      </c>
      <c r="O40" s="130">
        <f>IF(M40&lt;&gt;"",M40,L40)</f>
        <v/>
      </c>
    </row>
    <row r="41">
      <c r="A41" s="130" t="n">
        <v>40</v>
      </c>
      <c r="B41" s="130" t="inlineStr">
        <is>
          <t>FORMAÇÃO</t>
        </is>
      </c>
      <c r="C41" s="130" t="inlineStr">
        <is>
          <t>Maior mobilidade internacional de discentes</t>
        </is>
      </c>
      <c r="D41" s="130" t="n"/>
      <c r="E41" s="130" t="inlineStr">
        <is>
          <t>Coordenação do MPEA</t>
        </is>
      </c>
      <c r="F41" s="130" t="n"/>
      <c r="G41" s="130" t="n"/>
      <c r="H41" s="130" t="n"/>
      <c r="I41" s="130" t="n"/>
      <c r="J41" s="130" t="inlineStr">
        <is>
          <t>EM ANDAMENTO</t>
        </is>
      </c>
      <c r="K41" s="130" t="n"/>
      <c r="L41" s="130" t="inlineStr">
        <is>
          <t>OKR4</t>
        </is>
      </c>
      <c r="M41" s="130" t="inlineStr"/>
      <c r="N41" s="130" t="inlineStr">
        <is>
          <t>Estruturar internacionalização qualitativa e sustentável (ações DP, coautoria, disciplinas em outro idioma, mobilidade, cotutela)</t>
        </is>
      </c>
      <c r="O41" s="130">
        <f>IF(M41&lt;&gt;"",M41,L41)</f>
        <v/>
      </c>
    </row>
    <row r="42">
      <c r="A42" s="130" t="n">
        <v>41</v>
      </c>
      <c r="B42" s="130" t="inlineStr">
        <is>
          <t>FORMAÇÃO</t>
        </is>
      </c>
      <c r="C42" s="130" t="inlineStr">
        <is>
          <t>Medida da produção docente e docente/discente</t>
        </is>
      </c>
      <c r="D42" s="130" t="inlineStr">
        <is>
          <t xml:space="preserve">FALTA DE PRODUÇÃO BIBLIOGRÁFICA QUALIFICADA (QUALIS A) </t>
        </is>
      </c>
      <c r="E42" s="130" t="inlineStr">
        <is>
          <t>Comissão de Credenciamento e Acompanhamento Docente</t>
        </is>
      </c>
      <c r="F42" s="130" t="n"/>
      <c r="G42" s="130" t="n"/>
      <c r="H42" s="130" t="n"/>
      <c r="I42" s="130" t="n"/>
      <c r="J42" s="130" t="inlineStr">
        <is>
          <t>EM ANDAMENTO</t>
        </is>
      </c>
      <c r="K42" s="130" t="n"/>
      <c r="L42" s="130" t="inlineStr">
        <is>
          <t>OKR2</t>
        </is>
      </c>
      <c r="M42" s="130" t="inlineStr"/>
      <c r="N42" s="130" t="inlineStr">
        <is>
          <t>Elevar qualidade da formação e produção intelectual para padrão nota 6 (A1/A2, participação discente/egresso, teses/dissertações de destaque)</t>
        </is>
      </c>
      <c r="O42" s="130">
        <f>IF(M42&lt;&gt;"",M42,L42)</f>
        <v/>
      </c>
    </row>
    <row r="43">
      <c r="A43" s="130" t="n">
        <v>42</v>
      </c>
      <c r="B43" s="130" t="inlineStr">
        <is>
          <t>IMPACTO</t>
        </is>
      </c>
      <c r="C43" s="130" t="inlineStr">
        <is>
          <t>Medir o impacto dos  produtos das dissertações</t>
        </is>
      </c>
      <c r="D43" s="130" t="inlineStr">
        <is>
          <t xml:space="preserve">Potencial de impacto na avaliação do programa </t>
        </is>
      </c>
      <c r="E43" s="130" t="inlineStr">
        <is>
          <t>Comissão de Acompanhamento de Egressos</t>
        </is>
      </c>
      <c r="F43" s="130" t="n"/>
      <c r="G43" s="130" t="n"/>
      <c r="H43" s="130" t="n"/>
      <c r="I43" s="130" t="n"/>
      <c r="J43" s="130" t="inlineStr">
        <is>
          <t>EM ANDAMENTO</t>
        </is>
      </c>
      <c r="K43" s="130" t="n"/>
      <c r="L43" s="130" t="inlineStr">
        <is>
          <t>OKR3</t>
        </is>
      </c>
      <c r="M43" s="130" t="inlineStr"/>
      <c r="N43" s="130" t="inlineStr">
        <is>
          <t>Demonstrar impacto social/tecnológico mensurável (casos de impacto, transferência, parcerias com serviços)</t>
        </is>
      </c>
      <c r="O43" s="130">
        <f>IF(M43&lt;&gt;"",M43,L43)</f>
        <v/>
      </c>
    </row>
    <row r="44">
      <c r="A44" s="130" t="n">
        <v>43</v>
      </c>
      <c r="B44" s="130" t="inlineStr">
        <is>
          <t>IMPACTO</t>
        </is>
      </c>
      <c r="C44" s="130" t="inlineStr">
        <is>
          <t>Acelerar a produção intelectual e técnica dos docentes recém credenciados</t>
        </is>
      </c>
      <c r="D44" s="130" t="n"/>
      <c r="E44" s="130" t="inlineStr">
        <is>
          <t>Comissão de Credenciamento e Acompanhamento Docente</t>
        </is>
      </c>
      <c r="F44" s="130" t="n"/>
      <c r="G44" s="130" t="n"/>
      <c r="H44" s="130" t="n"/>
      <c r="I44" s="130" t="n"/>
      <c r="J44" s="130" t="inlineStr">
        <is>
          <t>EM ANDAMENTO</t>
        </is>
      </c>
      <c r="K44" s="130" t="n"/>
      <c r="L44" s="130" t="inlineStr">
        <is>
          <t>OKR5</t>
        </is>
      </c>
      <c r="M44" s="130" t="inlineStr"/>
      <c r="N44" s="130" t="inlineStr">
        <is>
          <t>Fortalecer inserção regional/nacional, visibilidade e popularização da ciência (rede, liderança, site, eventos, educação básica)</t>
        </is>
      </c>
      <c r="O44" s="130">
        <f>IF(M44&lt;&gt;"",M44,L44)</f>
        <v/>
      </c>
    </row>
    <row r="45">
      <c r="A45" s="130" t="n">
        <v>44</v>
      </c>
      <c r="B45" s="130" t="inlineStr">
        <is>
          <t>IMPACTO</t>
        </is>
      </c>
      <c r="C45" s="130" t="inlineStr">
        <is>
          <t xml:space="preserve">Estimular a produção dos docentes recém credenciados com os docentes permanentes </t>
        </is>
      </c>
      <c r="D45" s="130" t="n"/>
      <c r="E45" s="130" t="inlineStr">
        <is>
          <t>Comissão de Credenciamento e Acompanhamento Docente</t>
        </is>
      </c>
      <c r="F45" s="130" t="n"/>
      <c r="G45" s="130" t="n"/>
      <c r="H45" s="130" t="n"/>
      <c r="I45" s="130" t="n"/>
      <c r="J45" s="130" t="inlineStr">
        <is>
          <t>EM ANDAMENTO</t>
        </is>
      </c>
      <c r="K45" s="130" t="n"/>
      <c r="L45" s="130" t="inlineStr">
        <is>
          <t>OKR5</t>
        </is>
      </c>
      <c r="M45" s="130" t="inlineStr"/>
      <c r="N45" s="130" t="inlineStr">
        <is>
          <t>Fortalecer inserção regional/nacional, visibilidade e popularização da ciência (rede, liderança, site, eventos, educação básica)</t>
        </is>
      </c>
      <c r="O45" s="130">
        <f>IF(M45&lt;&gt;"",M45,L45)</f>
        <v/>
      </c>
    </row>
    <row r="46">
      <c r="A46" s="130" t="n">
        <v>45</v>
      </c>
      <c r="B46" s="130" t="inlineStr">
        <is>
          <t>IMPACTO</t>
        </is>
      </c>
      <c r="C46" s="130" t="inlineStr">
        <is>
          <t>Ampliar a  Internacionalização dos alunos MPEA</t>
        </is>
      </c>
      <c r="D46" s="130" t="inlineStr">
        <is>
          <t xml:space="preserve">Estabelecer parcerias internacionais </t>
        </is>
      </c>
      <c r="E46" s="130" t="inlineStr">
        <is>
          <t>Comissão de Acompanhamento Discente</t>
        </is>
      </c>
      <c r="F46" s="130" t="n"/>
      <c r="G46" s="130" t="n"/>
      <c r="H46" s="130" t="n"/>
      <c r="I46" s="130" t="n"/>
      <c r="J46" s="130" t="inlineStr">
        <is>
          <t>EM ANDAMENTO</t>
        </is>
      </c>
      <c r="K46" s="130" t="n"/>
      <c r="L46" s="130" t="inlineStr">
        <is>
          <t>OKR4</t>
        </is>
      </c>
      <c r="M46" s="130" t="inlineStr"/>
      <c r="N46" s="130" t="inlineStr">
        <is>
          <t>Estruturar internacionalização qualitativa e sustentável (ações DP, coautoria, disciplinas em outro idioma, mobilidade, cotutela)</t>
        </is>
      </c>
      <c r="O46" s="130">
        <f>IF(M46&lt;&gt;"",M46,L46)</f>
        <v/>
      </c>
    </row>
    <row r="47">
      <c r="A47" s="130" t="n">
        <v>46</v>
      </c>
      <c r="B47" s="130" t="inlineStr">
        <is>
          <t>IMPACTO</t>
        </is>
      </c>
      <c r="C47" s="130" t="inlineStr">
        <is>
          <t>Estimular a visita internacional para todos os docentes do programa</t>
        </is>
      </c>
      <c r="D47" s="130" t="n"/>
      <c r="E47" s="130" t="inlineStr">
        <is>
          <t>Coordenação do MPEA</t>
        </is>
      </c>
      <c r="F47" s="130" t="n"/>
      <c r="G47" s="130" t="n"/>
      <c r="H47" s="130" t="n"/>
      <c r="I47" s="130" t="n"/>
      <c r="J47" s="130" t="inlineStr">
        <is>
          <t>EM ANDAMENTO</t>
        </is>
      </c>
      <c r="K47" s="130" t="n"/>
      <c r="L47" s="130" t="inlineStr">
        <is>
          <t>OKR4</t>
        </is>
      </c>
      <c r="M47" s="130" t="inlineStr"/>
      <c r="N47" s="130" t="inlineStr">
        <is>
          <t>Estruturar internacionalização qualitativa e sustentável (ações DP, coautoria, disciplinas em outro idioma, mobilidade, cotutela)</t>
        </is>
      </c>
      <c r="O47" s="130">
        <f>IF(M47&lt;&gt;"",M47,L47)</f>
        <v/>
      </c>
    </row>
    <row r="48">
      <c r="A48" s="130" t="n">
        <v>47</v>
      </c>
      <c r="B48" s="130" t="inlineStr">
        <is>
          <t>IMPACTO</t>
        </is>
      </c>
      <c r="C48" s="130" t="inlineStr">
        <is>
          <t>Ampliar a  Internacionalização dos docentes MPEA</t>
        </is>
      </c>
      <c r="D48" s="130" t="inlineStr">
        <is>
          <t>Fortalecer parcerias internacionais</t>
        </is>
      </c>
      <c r="E48" s="130" t="inlineStr">
        <is>
          <t>Comissão de Credenciamento e Acompanhamento Docente</t>
        </is>
      </c>
      <c r="F48" s="130" t="n"/>
      <c r="G48" s="130" t="n"/>
      <c r="H48" s="130" t="n"/>
      <c r="I48" s="130" t="n"/>
      <c r="J48" s="130" t="inlineStr">
        <is>
          <t>EM ANDAMENTO</t>
        </is>
      </c>
      <c r="K48" s="130" t="n"/>
      <c r="L48" s="130" t="inlineStr">
        <is>
          <t>OKR4</t>
        </is>
      </c>
      <c r="M48" s="130" t="inlineStr"/>
      <c r="N48" s="130" t="inlineStr">
        <is>
          <t>Estruturar internacionalização qualitativa e sustentável (ações DP, coautoria, disciplinas em outro idioma, mobilidade, cotutela)</t>
        </is>
      </c>
      <c r="O48" s="130">
        <f>IF(M48&lt;&gt;"",M48,L48)</f>
        <v/>
      </c>
    </row>
    <row r="49">
      <c r="A49" s="130" t="n">
        <v>48</v>
      </c>
      <c r="B49" s="130" t="inlineStr">
        <is>
          <t>IMPACTO</t>
        </is>
      </c>
      <c r="C49" s="130" t="inlineStr">
        <is>
          <t xml:space="preserve">Monitorar a visibilidade do programa </t>
        </is>
      </c>
      <c r="D49" s="130" t="inlineStr">
        <is>
          <t>avaliar o impacto da visibilidade do programa</t>
        </is>
      </c>
      <c r="E49" s="130" t="inlineStr">
        <is>
          <t>Comissão de Visibilidade</t>
        </is>
      </c>
      <c r="F49" s="130" t="n"/>
      <c r="G49" s="130" t="n"/>
      <c r="H49" s="130" t="n"/>
      <c r="I49" s="130" t="n"/>
      <c r="J49" s="130" t="inlineStr">
        <is>
          <t>EM ANDAMENTO</t>
        </is>
      </c>
      <c r="K49" s="130" t="n"/>
      <c r="L49" s="130" t="inlineStr">
        <is>
          <t>OKR5</t>
        </is>
      </c>
      <c r="M49" s="130" t="inlineStr"/>
      <c r="N49" s="130" t="inlineStr">
        <is>
          <t>Fortalecer inserção regional/nacional, visibilidade e popularização da ciência (rede, liderança, site, eventos, educação básica)</t>
        </is>
      </c>
      <c r="O49" s="130">
        <f>IF(M49&lt;&gt;"",M49,L49)</f>
        <v/>
      </c>
    </row>
    <row r="50">
      <c r="A50" s="130" t="n">
        <v>49</v>
      </c>
      <c r="B50" s="130" t="inlineStr">
        <is>
          <t>IMPACTO</t>
        </is>
      </c>
      <c r="C50" s="130" t="inlineStr">
        <is>
          <t xml:space="preserve">Monitorar o impacto do Financiamento </t>
        </is>
      </c>
      <c r="D50" s="130" t="inlineStr">
        <is>
          <t>Internacionalização do docente e aluno; Divulgação e operacionalização de produtos e projetos</t>
        </is>
      </c>
      <c r="E50" s="130" t="inlineStr">
        <is>
          <t>Coordenação do MPEA</t>
        </is>
      </c>
      <c r="F50" s="130" t="n"/>
      <c r="G50" s="130" t="n"/>
      <c r="H50" s="130" t="n"/>
      <c r="I50" s="130" t="n"/>
      <c r="J50" s="130" t="inlineStr">
        <is>
          <t>EM ANDAMENTO</t>
        </is>
      </c>
      <c r="K50" s="130" t="n"/>
      <c r="L50" s="130" t="inlineStr">
        <is>
          <t>OKR4</t>
        </is>
      </c>
      <c r="M50" s="130" t="inlineStr"/>
      <c r="N50" s="130" t="inlineStr">
        <is>
          <t>Estruturar internacionalização qualitativa e sustentável (ações DP, coautoria, disciplinas em outro idioma, mobilidade, cotutela)</t>
        </is>
      </c>
      <c r="O50" s="130">
        <f>IF(M50&lt;&gt;"",M50,L50)</f>
        <v/>
      </c>
    </row>
    <row r="51">
      <c r="A51" s="130" t="n">
        <v>50</v>
      </c>
      <c r="B51" s="130" t="inlineStr">
        <is>
          <t>IMPACTO</t>
        </is>
      </c>
      <c r="C51" s="130" t="inlineStr">
        <is>
          <t>Avaliar o impacto dos programas de articulação com ensino técnico....</t>
        </is>
      </c>
      <c r="D51" s="130" t="inlineStr">
        <is>
          <t>Políticas para melhoria da saúde na  ensino técnico</t>
        </is>
      </c>
      <c r="E51" s="130" t="inlineStr">
        <is>
          <t>Coordenação do MPEA</t>
        </is>
      </c>
      <c r="F51" s="130" t="n"/>
      <c r="G51" s="130" t="n"/>
      <c r="H51" s="130" t="n"/>
      <c r="I51" s="130" t="n"/>
      <c r="J51" s="130" t="inlineStr">
        <is>
          <t>EM ANDAMENTO</t>
        </is>
      </c>
      <c r="K51" s="130" t="n"/>
      <c r="L51" s="130" t="inlineStr">
        <is>
          <t>OKR3</t>
        </is>
      </c>
      <c r="M51" s="130" t="inlineStr"/>
      <c r="N51" s="130" t="inlineStr">
        <is>
          <t>Demonstrar impacto social/tecnológico mensurável (casos de impacto, transferência, parcerias com serviços)</t>
        </is>
      </c>
      <c r="O51" s="130">
        <f>IF(M51&lt;&gt;"",M51,L51)</f>
        <v/>
      </c>
    </row>
    <row r="52">
      <c r="A52" s="130" t="n">
        <v>51</v>
      </c>
      <c r="B52" s="130" t="inlineStr">
        <is>
          <t>IMPACTO</t>
        </is>
      </c>
      <c r="C52" s="130" t="inlineStr">
        <is>
          <t>Melhorar o índice de docentes atuantes na atenção primária</t>
        </is>
      </c>
      <c r="D52" s="130" t="n"/>
      <c r="E52" s="130" t="inlineStr">
        <is>
          <t>Comissão de Credenciamento e Acompanhamento Docente</t>
        </is>
      </c>
      <c r="F52" s="130" t="n"/>
      <c r="G52" s="130" t="n"/>
      <c r="H52" s="130" t="n"/>
      <c r="I52" s="130" t="n"/>
      <c r="J52" s="130" t="n"/>
      <c r="K52" s="130" t="n"/>
      <c r="L52" s="130" t="inlineStr">
        <is>
          <t>OKR3</t>
        </is>
      </c>
      <c r="M52" s="130" t="inlineStr"/>
      <c r="N52" s="130" t="inlineStr">
        <is>
          <t>Demonstrar impacto social/tecnológico mensurável (casos de impacto, transferência, parcerias com serviços)</t>
        </is>
      </c>
      <c r="O52" s="130">
        <f>IF(M52&lt;&gt;"",M52,L52)</f>
        <v/>
      </c>
    </row>
    <row r="53">
      <c r="A53" s="130" t="n">
        <v>52</v>
      </c>
      <c r="B53" s="130" t="inlineStr">
        <is>
          <t>IMPACTO</t>
        </is>
      </c>
      <c r="C53" s="130" t="inlineStr">
        <is>
          <t>Monitorar o impacto das 5 melhores dissertações e das 5 melhores produções técnicas escolhidas pelo programa</t>
        </is>
      </c>
      <c r="D53" s="130" t="inlineStr">
        <is>
          <t>Atender aos critérios da CAPES</t>
        </is>
      </c>
      <c r="E53" s="130" t="inlineStr">
        <is>
          <t>Comissão de Acompanhamento de Egressos</t>
        </is>
      </c>
      <c r="F53" s="130" t="n"/>
      <c r="G53" s="130" t="n"/>
      <c r="H53" s="130" t="n"/>
      <c r="I53" s="130" t="n"/>
      <c r="J53" s="130" t="inlineStr">
        <is>
          <t>EM ANDAMENTO</t>
        </is>
      </c>
      <c r="K53" s="130" t="n"/>
      <c r="L53" s="130" t="inlineStr">
        <is>
          <t>OKR3</t>
        </is>
      </c>
      <c r="M53" s="130" t="inlineStr"/>
      <c r="N53" s="130" t="inlineStr">
        <is>
          <t>Demonstrar impacto social/tecnológico mensurável (casos de impacto, transferência, parcerias com serviços)</t>
        </is>
      </c>
      <c r="O53" s="130">
        <f>IF(M53&lt;&gt;"",M53,L53)</f>
        <v/>
      </c>
    </row>
    <row r="54">
      <c r="A54" s="130" t="n">
        <v>53</v>
      </c>
      <c r="B54" s="130" t="inlineStr">
        <is>
          <t>IMPACTO</t>
        </is>
      </c>
      <c r="C54" s="130" t="inlineStr">
        <is>
          <t>Avaliar o impacto  social das dissertações</t>
        </is>
      </c>
      <c r="D54" s="130" t="inlineStr">
        <is>
          <t>Impacto social</t>
        </is>
      </c>
      <c r="E54" s="130" t="inlineStr">
        <is>
          <t>Comissão de Acompanhamento de Egressos</t>
        </is>
      </c>
      <c r="F54" s="130" t="n"/>
      <c r="G54" s="130" t="n"/>
      <c r="H54" s="130" t="n"/>
      <c r="I54" s="130" t="n"/>
      <c r="J54" s="130" t="inlineStr">
        <is>
          <t>EM ANDAMENTO</t>
        </is>
      </c>
      <c r="K54" s="130" t="n"/>
      <c r="L54" s="130" t="inlineStr">
        <is>
          <t>OKR3</t>
        </is>
      </c>
      <c r="M54" s="130" t="inlineStr"/>
      <c r="N54" s="130" t="inlineStr">
        <is>
          <t>Demonstrar impacto social/tecnológico mensurável (casos de impacto, transferência, parcerias com serviços)</t>
        </is>
      </c>
      <c r="O54" s="130">
        <f>IF(M54&lt;&gt;"",M54,L54)</f>
        <v/>
      </c>
    </row>
    <row r="55">
      <c r="A55" s="130" t="n">
        <v>54</v>
      </c>
      <c r="B55" s="130" t="inlineStr">
        <is>
          <t>IMPACTO</t>
        </is>
      </c>
      <c r="C55" s="130" t="inlineStr">
        <is>
          <t>Avaliar o impacto da transferência  dos conhecimentos na sociedade</t>
        </is>
      </c>
      <c r="D55" s="130" t="inlineStr">
        <is>
          <t>Adotar a metodologia do implementation science</t>
        </is>
      </c>
      <c r="E55" s="130" t="inlineStr">
        <is>
          <t>Comissão de Acompanhamento de Egressos</t>
        </is>
      </c>
      <c r="F55" s="130" t="n"/>
      <c r="G55" s="130" t="n"/>
      <c r="H55" s="130" t="n"/>
      <c r="I55" s="130" t="n"/>
      <c r="J55" s="130" t="inlineStr">
        <is>
          <t>EM ANDAMENTO</t>
        </is>
      </c>
      <c r="K55" s="130" t="n"/>
      <c r="L55" s="130" t="inlineStr">
        <is>
          <t>OKR5</t>
        </is>
      </c>
      <c r="M55" s="130" t="inlineStr"/>
      <c r="N55" s="130" t="inlineStr">
        <is>
          <t>Fortalecer inserção regional/nacional, visibilidade e popularização da ciência (rede, liderança, site, eventos, educação básica)</t>
        </is>
      </c>
      <c r="O55" s="130">
        <f>IF(M55&lt;&gt;"",M55,L55)</f>
        <v/>
      </c>
    </row>
    <row r="56">
      <c r="A56" s="130" t="n">
        <v>55</v>
      </c>
      <c r="B56" s="130" t="inlineStr">
        <is>
          <t>IMPACTO</t>
        </is>
      </c>
      <c r="C56" s="130" t="inlineStr">
        <is>
          <t>Impacto da internacionalização do docente</t>
        </is>
      </c>
      <c r="D56" s="130" t="inlineStr">
        <is>
          <t>Avaliar ações de internacionalização dos docentes</t>
        </is>
      </c>
      <c r="E56" s="130" t="inlineStr">
        <is>
          <t>Comissão de Credenciamento e Acompanhamento Docente</t>
        </is>
      </c>
      <c r="F56" s="130" t="n"/>
      <c r="G56" s="130" t="n"/>
      <c r="H56" s="130" t="n"/>
      <c r="I56" s="130" t="n"/>
      <c r="J56" s="130" t="inlineStr">
        <is>
          <t>EM ANDAMENTO</t>
        </is>
      </c>
      <c r="K56" s="130" t="n"/>
      <c r="L56" s="130" t="inlineStr">
        <is>
          <t>OKR4</t>
        </is>
      </c>
      <c r="M56" s="130" t="inlineStr"/>
      <c r="N56" s="130" t="inlineStr">
        <is>
          <t>Estruturar internacionalização qualitativa e sustentável (ações DP, coautoria, disciplinas em outro idioma, mobilidade, cotutela)</t>
        </is>
      </c>
      <c r="O56" s="130">
        <f>IF(M56&lt;&gt;"",M56,L56)</f>
        <v/>
      </c>
    </row>
    <row r="57">
      <c r="A57" s="130" t="n">
        <v>56</v>
      </c>
      <c r="B57" s="130" t="inlineStr">
        <is>
          <t>IMPACTO</t>
        </is>
      </c>
      <c r="C57" s="130" t="inlineStr">
        <is>
          <t>Participação dos docentes e discentes em eventos internacionais</t>
        </is>
      </c>
      <c r="D57" s="130" t="n"/>
      <c r="E57" s="130" t="inlineStr">
        <is>
          <t>Comissão de Visibilidade</t>
        </is>
      </c>
      <c r="F57" s="130" t="n"/>
      <c r="G57" s="130" t="n"/>
      <c r="H57" s="130" t="n"/>
      <c r="I57" s="130" t="n"/>
      <c r="J57" s="130" t="inlineStr">
        <is>
          <t>EM ANDAMENTO</t>
        </is>
      </c>
      <c r="K57" s="130" t="n"/>
      <c r="L57" s="130" t="inlineStr">
        <is>
          <t>OKR4</t>
        </is>
      </c>
      <c r="M57" s="130" t="inlineStr"/>
      <c r="N57" s="130" t="inlineStr">
        <is>
          <t>Estruturar internacionalização qualitativa e sustentável (ações DP, coautoria, disciplinas em outro idioma, mobilidade, cotutela)</t>
        </is>
      </c>
      <c r="O57" s="130">
        <f>IF(M57&lt;&gt;"",M57,L57)</f>
        <v/>
      </c>
    </row>
    <row r="58">
      <c r="A58" s="130" t="n">
        <v>57</v>
      </c>
      <c r="B58" s="130" t="inlineStr">
        <is>
          <t>IMPACTO</t>
        </is>
      </c>
      <c r="C58" s="130" t="inlineStr">
        <is>
          <t>Publicação dos produtos em outros idiomas</t>
        </is>
      </c>
      <c r="D58" s="130" t="n"/>
      <c r="E58" s="130" t="inlineStr">
        <is>
          <t>Comissão de Acompanhamento Discente</t>
        </is>
      </c>
      <c r="F58" s="130" t="n"/>
      <c r="G58" s="130" t="n"/>
      <c r="H58" s="130" t="n"/>
      <c r="I58" s="130" t="n"/>
      <c r="J58" s="130" t="inlineStr">
        <is>
          <t>EM ANDAMENTO</t>
        </is>
      </c>
      <c r="K58" s="130" t="n"/>
      <c r="L58" s="130" t="inlineStr">
        <is>
          <t>OKR3</t>
        </is>
      </c>
      <c r="M58" s="130" t="inlineStr"/>
      <c r="N58" s="130" t="inlineStr">
        <is>
          <t>Demonstrar impacto social/tecnológico mensurável (casos de impacto, transferência, parcerias com serviços)</t>
        </is>
      </c>
      <c r="O58" s="130">
        <f>IF(M58&lt;&gt;"",M58,L58)</f>
        <v/>
      </c>
    </row>
    <row r="59">
      <c r="A59" s="130" t="n">
        <v>58</v>
      </c>
      <c r="B59" s="130" t="inlineStr">
        <is>
          <t>IMPACTO</t>
        </is>
      </c>
      <c r="C59" s="130" t="inlineStr">
        <is>
          <t>Implementar os produtos e processos das teses e dissertações</t>
        </is>
      </c>
      <c r="D59" s="130" t="n"/>
      <c r="E59" s="130" t="inlineStr">
        <is>
          <t>Comissão de Acompanhamento Discente</t>
        </is>
      </c>
      <c r="F59" s="130" t="n"/>
      <c r="G59" s="130" t="n"/>
      <c r="H59" s="130" t="n"/>
      <c r="I59" s="130" t="n"/>
      <c r="J59" s="130" t="inlineStr">
        <is>
          <t>EM ANDAMENTO</t>
        </is>
      </c>
      <c r="K59" s="130" t="n"/>
      <c r="L59" s="130" t="inlineStr">
        <is>
          <t>OKR3</t>
        </is>
      </c>
      <c r="M59" s="130" t="inlineStr"/>
      <c r="N59" s="130" t="inlineStr">
        <is>
          <t>Demonstrar impacto social/tecnológico mensurável (casos de impacto, transferência, parcerias com serviços)</t>
        </is>
      </c>
      <c r="O59" s="130">
        <f>IF(M59&lt;&gt;"",M59,L59)</f>
        <v/>
      </c>
    </row>
    <row r="60">
      <c r="A60" s="130" t="n">
        <v>59</v>
      </c>
      <c r="B60" s="130" t="inlineStr">
        <is>
          <t>IMPACTO</t>
        </is>
      </c>
      <c r="C60" s="130" t="inlineStr">
        <is>
          <t>Incentivar publicação do docente com o egresso</t>
        </is>
      </c>
      <c r="D60" s="130" t="n"/>
      <c r="E60" s="130" t="inlineStr">
        <is>
          <t>Comissão de Acompanhamento Discente</t>
        </is>
      </c>
      <c r="F60" s="130" t="n"/>
      <c r="G60" s="130" t="n"/>
      <c r="H60" s="130" t="n"/>
      <c r="I60" s="130" t="n"/>
      <c r="J60" s="130" t="inlineStr">
        <is>
          <t>EM ANDAMENTO</t>
        </is>
      </c>
      <c r="K60" s="130" t="n"/>
      <c r="L60" s="130" t="inlineStr">
        <is>
          <t>OKR3</t>
        </is>
      </c>
      <c r="M60" s="130" t="inlineStr"/>
      <c r="N60" s="130" t="inlineStr">
        <is>
          <t>Demonstrar impacto social/tecnológico mensurável (casos de impacto, transferência, parcerias com serviços)</t>
        </is>
      </c>
      <c r="O60" s="130">
        <f>IF(M60&lt;&gt;"",M60,L60)</f>
        <v/>
      </c>
    </row>
    <row r="61">
      <c r="A61" s="130" t="n">
        <v>60</v>
      </c>
      <c r="B61" s="130" t="inlineStr">
        <is>
          <t>IMPACTO</t>
        </is>
      </c>
      <c r="C61" s="130" t="inlineStr">
        <is>
          <t>Elaboração de produtos que possam ter escopo ampliado</t>
        </is>
      </c>
      <c r="D61" s="130" t="n"/>
      <c r="E61" s="130" t="inlineStr">
        <is>
          <t>Comissão de Acompanhamento Discente</t>
        </is>
      </c>
      <c r="F61" s="130" t="n"/>
      <c r="G61" s="130" t="n"/>
      <c r="H61" s="130" t="n"/>
      <c r="I61" s="130" t="n"/>
      <c r="J61" s="130" t="inlineStr">
        <is>
          <t>EM ANDAMENTO</t>
        </is>
      </c>
      <c r="K61" s="130" t="n"/>
      <c r="L61" s="130" t="inlineStr">
        <is>
          <t>OKR3</t>
        </is>
      </c>
      <c r="M61" s="130" t="inlineStr"/>
      <c r="N61" s="130" t="inlineStr">
        <is>
          <t>Demonstrar impacto social/tecnológico mensurável (casos de impacto, transferência, parcerias com serviços)</t>
        </is>
      </c>
      <c r="O61" s="130">
        <f>IF(M61&lt;&gt;"",M61,L61)</f>
        <v/>
      </c>
    </row>
    <row r="62">
      <c r="A62" s="130" t="n">
        <v>61</v>
      </c>
      <c r="B62" s="130" t="inlineStr">
        <is>
          <t>IMPACTO</t>
        </is>
      </c>
      <c r="C62" s="130" t="inlineStr">
        <is>
          <t>Estímulo a implementação dos produtos desenvolvidos</t>
        </is>
      </c>
      <c r="D62" s="130" t="n"/>
      <c r="E62" s="130" t="inlineStr">
        <is>
          <t>Comissão de Acompanhamento Discente</t>
        </is>
      </c>
      <c r="F62" s="130" t="n"/>
      <c r="G62" s="130" t="n"/>
      <c r="H62" s="130" t="n"/>
      <c r="I62" s="130" t="n"/>
      <c r="J62" s="130" t="inlineStr">
        <is>
          <t>PENDENTE</t>
        </is>
      </c>
      <c r="K62" s="130" t="n"/>
      <c r="L62" s="130" t="inlineStr">
        <is>
          <t>OKR3</t>
        </is>
      </c>
      <c r="M62" s="130" t="inlineStr"/>
      <c r="N62" s="130" t="inlineStr">
        <is>
          <t>Demonstrar impacto social/tecnológico mensurável (casos de impacto, transferência, parcerias com serviços)</t>
        </is>
      </c>
      <c r="O62" s="130">
        <f>IF(M62&lt;&gt;"",M62,L62)</f>
        <v/>
      </c>
    </row>
    <row r="63">
      <c r="A63" s="130" t="n">
        <v>62</v>
      </c>
      <c r="B63" s="130" t="inlineStr">
        <is>
          <t>IMPACTO</t>
        </is>
      </c>
      <c r="C63" s="130" t="inlineStr">
        <is>
          <t>Estimular o desenvolvimento de produtos com identidade profissional e inserção social</t>
        </is>
      </c>
      <c r="D63" s="130" t="n"/>
      <c r="E63" s="130" t="inlineStr">
        <is>
          <t>Comissão de Acompanhamento Discente</t>
        </is>
      </c>
      <c r="F63" s="130" t="n"/>
      <c r="G63" s="130" t="n"/>
      <c r="H63" s="130" t="n"/>
      <c r="I63" s="130" t="n"/>
      <c r="J63" s="130" t="inlineStr">
        <is>
          <t>EM ANDAMENTO</t>
        </is>
      </c>
      <c r="K63" s="130" t="n"/>
      <c r="L63" s="130" t="inlineStr">
        <is>
          <t>OKR5</t>
        </is>
      </c>
      <c r="M63" s="130" t="inlineStr"/>
      <c r="N63" s="130" t="inlineStr">
        <is>
          <t>Fortalecer inserção regional/nacional, visibilidade e popularização da ciência (rede, liderança, site, eventos, educação básica)</t>
        </is>
      </c>
      <c r="O63" s="130">
        <f>IF(M63&lt;&gt;"",M63,L63)</f>
        <v/>
      </c>
    </row>
    <row r="64">
      <c r="A64" s="130" t="n">
        <v>63</v>
      </c>
      <c r="B64" s="130" t="inlineStr">
        <is>
          <t>IMPACTO</t>
        </is>
      </c>
      <c r="C64" s="130" t="inlineStr">
        <is>
          <t>Estimular a submissão de projetos para editais relacionados a políticas inclusivas de ações na educação técnica ou básica associado a disciplina de estágio a docência</t>
        </is>
      </c>
      <c r="D64" s="130" t="n"/>
      <c r="E64" s="130" t="inlineStr">
        <is>
          <t>Comissão de Credenciamento e Acompanhamento Docente</t>
        </is>
      </c>
      <c r="F64" s="130" t="n"/>
      <c r="G64" s="130" t="n"/>
      <c r="H64" s="130" t="n"/>
      <c r="I64" s="130" t="n"/>
      <c r="J64" s="130" t="inlineStr">
        <is>
          <t>EM ANDAMENTO</t>
        </is>
      </c>
      <c r="K64" s="130" t="n"/>
      <c r="L64" s="130" t="inlineStr">
        <is>
          <t>OKR3</t>
        </is>
      </c>
      <c r="M64" s="130" t="inlineStr"/>
      <c r="N64" s="130" t="inlineStr">
        <is>
          <t>Demonstrar impacto social/tecnológico mensurável (casos de impacto, transferência, parcerias com serviços)</t>
        </is>
      </c>
      <c r="O64" s="130">
        <f>IF(M64&lt;&gt;"",M64,L64)</f>
        <v/>
      </c>
    </row>
    <row r="65">
      <c r="A65" s="130" t="n">
        <v>64</v>
      </c>
      <c r="B65" s="130" t="inlineStr">
        <is>
          <t>IMPACTO</t>
        </is>
      </c>
      <c r="C65" s="130" t="inlineStr">
        <is>
          <t>Incentivar o corpo docente da Universidade fora de sede para montar o programa próprio</t>
        </is>
      </c>
      <c r="D65" s="130" t="n"/>
      <c r="E65" s="130" t="inlineStr">
        <is>
          <t>Comissão de Credenciamento e Acompanhamento Docente</t>
        </is>
      </c>
      <c r="F65" s="130" t="n"/>
      <c r="G65" s="130" t="n"/>
      <c r="H65" s="130" t="n"/>
      <c r="I65" s="130" t="n"/>
      <c r="J65" s="130" t="inlineStr">
        <is>
          <t>EM ANDAMENTO</t>
        </is>
      </c>
      <c r="K65" s="130" t="n"/>
      <c r="L65" s="130" t="inlineStr">
        <is>
          <t>OKR3</t>
        </is>
      </c>
      <c r="M65" s="130" t="inlineStr"/>
      <c r="N65" s="130" t="inlineStr">
        <is>
          <t>Demonstrar impacto social/tecnológico mensurável (casos de impacto, transferência, parcerias com serviços)</t>
        </is>
      </c>
      <c r="O65" s="130">
        <f>IF(M65&lt;&gt;"",M65,L65)</f>
        <v/>
      </c>
    </row>
    <row r="66">
      <c r="A66" s="130" t="n">
        <v>65</v>
      </c>
      <c r="B66" s="130" t="inlineStr">
        <is>
          <t>IMPACTO</t>
        </is>
      </c>
      <c r="C66" s="130" t="inlineStr">
        <is>
          <t>Criar repositório/site de produtos técnicos do MPEA</t>
        </is>
      </c>
      <c r="D66" s="130" t="n"/>
      <c r="E66" s="130" t="inlineStr">
        <is>
          <t>Comissão de Acompanhamento Discente</t>
        </is>
      </c>
      <c r="F66" s="130" t="n"/>
      <c r="G66" s="130" t="n"/>
      <c r="H66" s="130" t="n"/>
      <c r="I66" s="130" t="n"/>
      <c r="J66" s="130" t="inlineStr">
        <is>
          <t>EM ANDAMENTO</t>
        </is>
      </c>
      <c r="K66" s="130" t="n"/>
      <c r="L66" s="130" t="inlineStr">
        <is>
          <t>OKR5</t>
        </is>
      </c>
      <c r="M66" s="130" t="inlineStr"/>
      <c r="N66" s="130" t="inlineStr">
        <is>
          <t>Fortalecer inserção regional/nacional, visibilidade e popularização da ciência (rede, liderança, site, eventos, educação básica)</t>
        </is>
      </c>
      <c r="O66" s="130">
        <f>IF(M66&lt;&gt;"",M66,L66)</f>
        <v/>
      </c>
    </row>
    <row r="67">
      <c r="A67" s="130" t="n">
        <v>66</v>
      </c>
      <c r="B67" s="130" t="inlineStr">
        <is>
          <t>IMPACTO</t>
        </is>
      </c>
      <c r="C67" s="130" t="inlineStr">
        <is>
          <t>Buscar fomentos em diversas instâncias nacionais e internacionais, governamentais e não governamentais</t>
        </is>
      </c>
      <c r="D67" s="130" t="n"/>
      <c r="E67" s="130" t="inlineStr">
        <is>
          <t>Coordenação do MPEA</t>
        </is>
      </c>
      <c r="F67" s="130" t="n"/>
      <c r="G67" s="130" t="n"/>
      <c r="H67" s="130" t="n"/>
      <c r="I67" s="130" t="n"/>
      <c r="J67" s="130" t="inlineStr">
        <is>
          <t>EM ANDAMENTO</t>
        </is>
      </c>
      <c r="K67" s="130" t="n"/>
      <c r="L67" s="130" t="inlineStr">
        <is>
          <t>OKR4</t>
        </is>
      </c>
      <c r="M67" s="130" t="inlineStr"/>
      <c r="N67" s="130" t="inlineStr">
        <is>
          <t>Estruturar internacionalização qualitativa e sustentável (ações DP, coautoria, disciplinas em outro idioma, mobilidade, cotutela)</t>
        </is>
      </c>
      <c r="O67" s="130">
        <f>IF(M67&lt;&gt;"",M67,L67)</f>
        <v/>
      </c>
    </row>
    <row r="68">
      <c r="A68" s="130" t="n">
        <v>67</v>
      </c>
      <c r="B68" s="130" t="inlineStr">
        <is>
          <t>IMPACTO</t>
        </is>
      </c>
      <c r="C68" s="130" t="inlineStr">
        <is>
          <t>Incentivar a educação docente e discente para o aprendizado de idiomas, com certificações periódicas internacionais</t>
        </is>
      </c>
      <c r="D68" s="130" t="n"/>
      <c r="E68" s="130" t="inlineStr">
        <is>
          <t>Comissão de Acompanhamento Discente</t>
        </is>
      </c>
      <c r="F68" s="130" t="n"/>
      <c r="G68" s="130" t="n"/>
      <c r="H68" s="130" t="n"/>
      <c r="I68" s="130" t="n"/>
      <c r="J68" s="130" t="inlineStr">
        <is>
          <t>EM ANDAMENTO</t>
        </is>
      </c>
      <c r="K68" s="130" t="n"/>
      <c r="L68" s="130" t="inlineStr">
        <is>
          <t>OKR4</t>
        </is>
      </c>
      <c r="M68" s="130" t="inlineStr"/>
      <c r="N68" s="130" t="inlineStr">
        <is>
          <t>Estruturar internacionalização qualitativa e sustentável (ações DP, coautoria, disciplinas em outro idioma, mobilidade, cotutela)</t>
        </is>
      </c>
      <c r="O68" s="130">
        <f>IF(M68&lt;&gt;"",M68,L68)</f>
        <v/>
      </c>
    </row>
    <row r="69">
      <c r="A69" s="130" t="n">
        <v>68</v>
      </c>
      <c r="B69" s="130" t="inlineStr">
        <is>
          <t>IMPACTO</t>
        </is>
      </c>
      <c r="C69" s="130" t="inlineStr">
        <is>
          <t>Incentivar o docente e o discente na publicação internacional</t>
        </is>
      </c>
      <c r="D69" s="130" t="n"/>
      <c r="E69" s="130" t="inlineStr">
        <is>
          <t>Coordenação do MPEA</t>
        </is>
      </c>
      <c r="F69" s="130" t="n"/>
      <c r="G69" s="130" t="n"/>
      <c r="H69" s="130" t="n"/>
      <c r="I69" s="130" t="n"/>
      <c r="J69" s="130" t="inlineStr">
        <is>
          <t>EM ANDAMENTO</t>
        </is>
      </c>
      <c r="K69" s="130" t="n"/>
      <c r="L69" s="130" t="inlineStr">
        <is>
          <t>OKR4</t>
        </is>
      </c>
      <c r="M69" s="130" t="inlineStr"/>
      <c r="N69" s="130" t="inlineStr">
        <is>
          <t>Estruturar internacionalização qualitativa e sustentável (ações DP, coautoria, disciplinas em outro idioma, mobilidade, cotutela)</t>
        </is>
      </c>
      <c r="O69" s="130">
        <f>IF(M69&lt;&gt;"",M69,L69)</f>
        <v/>
      </c>
    </row>
    <row r="70">
      <c r="A70" s="130" t="n">
        <v>69</v>
      </c>
      <c r="B70" s="130" t="inlineStr">
        <is>
          <t>IMPACTO</t>
        </is>
      </c>
      <c r="C70" s="130" t="inlineStr">
        <is>
          <t>Divulgar o Planejamento Estratégico e os indicadores no site do MPEA</t>
        </is>
      </c>
      <c r="D70" s="130" t="n"/>
      <c r="E70" s="130" t="inlineStr">
        <is>
          <t>Comissão de Monitoramento do Planejamento Estratégico</t>
        </is>
      </c>
      <c r="F70" s="130" t="n"/>
      <c r="G70" s="130" t="n"/>
      <c r="H70" s="130" t="n"/>
      <c r="I70" s="130" t="n"/>
      <c r="J70" s="130" t="inlineStr">
        <is>
          <t>EM ANDAMENTO</t>
        </is>
      </c>
      <c r="K70" s="130" t="n"/>
      <c r="L70" s="130" t="inlineStr">
        <is>
          <t>OKR5</t>
        </is>
      </c>
      <c r="M70" s="130" t="inlineStr"/>
      <c r="N70" s="130" t="inlineStr">
        <is>
          <t>Fortalecer inserção regional/nacional, visibilidade e popularização da ciência (rede, liderança, site, eventos, educação básica)</t>
        </is>
      </c>
      <c r="O70" s="130">
        <f>IF(M70&lt;&gt;"",M70,L70)</f>
        <v/>
      </c>
    </row>
    <row r="71">
      <c r="A71" s="130" t="n">
        <v>70</v>
      </c>
      <c r="B71" s="130" t="inlineStr">
        <is>
          <t>IMPACTO</t>
        </is>
      </c>
      <c r="C71" s="130" t="inlineStr">
        <is>
          <t xml:space="preserve">Criar associação dos egressos </t>
        </is>
      </c>
      <c r="D71" s="130" t="inlineStr">
        <is>
          <t>Envolver os egressos em atividades do Programa</t>
        </is>
      </c>
      <c r="E71" s="130" t="inlineStr">
        <is>
          <t>Comissão de Acompanhamento de Egressos</t>
        </is>
      </c>
      <c r="F71" s="130" t="n"/>
      <c r="G71" s="130" t="n"/>
      <c r="H71" s="130" t="n"/>
      <c r="I71" s="130" t="n"/>
      <c r="J71" s="130" t="inlineStr">
        <is>
          <t>EM ANDAMENTO</t>
        </is>
      </c>
      <c r="K71" s="130" t="n"/>
      <c r="L71" s="130" t="inlineStr">
        <is>
          <t>OKR5</t>
        </is>
      </c>
      <c r="M71" s="130" t="inlineStr"/>
      <c r="N71" s="130" t="inlineStr">
        <is>
          <t>Fortalecer inserção regional/nacional, visibilidade e popularização da ciência (rede, liderança, site, eventos, educação básica)</t>
        </is>
      </c>
      <c r="O71" s="130">
        <f>IF(M71&lt;&gt;"",M71,L71)</f>
        <v/>
      </c>
    </row>
    <row r="72">
      <c r="A72" s="130" t="n">
        <v>71</v>
      </c>
      <c r="B72" s="130" t="inlineStr">
        <is>
          <t>IMPACTO</t>
        </is>
      </c>
      <c r="C72" s="130" t="inlineStr">
        <is>
          <t xml:space="preserve">Atualizar periodicamente o site do MPEA </t>
        </is>
      </c>
      <c r="D72" s="130" t="n"/>
      <c r="E72" s="130" t="inlineStr">
        <is>
          <t>Comissão de Visibilidade</t>
        </is>
      </c>
      <c r="F72" s="130" t="n"/>
      <c r="G72" s="130" t="n"/>
      <c r="H72" s="130" t="n"/>
      <c r="I72" s="130" t="n"/>
      <c r="J72" s="130" t="inlineStr">
        <is>
          <t>EM ANDAMENTO</t>
        </is>
      </c>
      <c r="K72" s="130" t="n"/>
      <c r="L72" s="130" t="inlineStr">
        <is>
          <t>OKR5</t>
        </is>
      </c>
      <c r="M72" s="130" t="inlineStr"/>
      <c r="N72" s="130" t="inlineStr">
        <is>
          <t>Fortalecer inserção regional/nacional, visibilidade e popularização da ciência (rede, liderança, site, eventos, educação básica)</t>
        </is>
      </c>
      <c r="O72" s="130">
        <f>IF(M72&lt;&gt;"",M72,L72)</f>
        <v/>
      </c>
    </row>
    <row r="73">
      <c r="A73" s="130" t="n">
        <v>72</v>
      </c>
      <c r="B73" s="130" t="inlineStr">
        <is>
          <t>IMPACTO</t>
        </is>
      </c>
      <c r="C73" s="130" t="inlineStr">
        <is>
          <t>Vínculos institucionais frágeis dos discentes</t>
        </is>
      </c>
      <c r="D73" s="130" t="n"/>
      <c r="E73" s="130" t="inlineStr">
        <is>
          <t>Comissão de Acompanhamento Discente</t>
        </is>
      </c>
      <c r="F73" s="130" t="n"/>
      <c r="G73" s="130" t="n"/>
      <c r="H73" s="130" t="n"/>
      <c r="I73" s="130" t="n"/>
      <c r="J73" s="130" t="n"/>
      <c r="K73" s="130" t="n"/>
      <c r="L73" s="130" t="inlineStr">
        <is>
          <t>OKR3</t>
        </is>
      </c>
      <c r="M73" s="130" t="inlineStr"/>
      <c r="N73" s="130" t="inlineStr">
        <is>
          <t>Demonstrar impacto social/tecnológico mensurável (casos de impacto, transferência, parcerias com serviços)</t>
        </is>
      </c>
      <c r="O73" s="130">
        <f>IF(M73&lt;&gt;"",M73,L73)</f>
        <v/>
      </c>
    </row>
    <row r="74">
      <c r="A74" s="130" t="n">
        <v>73</v>
      </c>
      <c r="B74" s="130" t="inlineStr">
        <is>
          <t>IMPACTO</t>
        </is>
      </c>
      <c r="C74" s="130" t="inlineStr">
        <is>
          <t>Ausência de bolsas para alunos do Programa Profissional</t>
        </is>
      </c>
      <c r="D74" s="130" t="n"/>
      <c r="E74" s="130" t="inlineStr">
        <is>
          <t>Coordenação do MPEA</t>
        </is>
      </c>
      <c r="F74" s="130" t="n"/>
      <c r="G74" s="130" t="n"/>
      <c r="H74" s="130" t="n"/>
      <c r="I74" s="130" t="n"/>
      <c r="J74" s="130" t="n"/>
      <c r="K74" s="130" t="n"/>
      <c r="L74" s="130" t="inlineStr">
        <is>
          <t>OKR3</t>
        </is>
      </c>
      <c r="M74" s="130" t="inlineStr"/>
      <c r="N74" s="130" t="inlineStr">
        <is>
          <t>Demonstrar impacto social/tecnológico mensurável (casos de impacto, transferência, parcerias com serviços)</t>
        </is>
      </c>
      <c r="O74" s="130">
        <f>IF(M74&lt;&gt;"",M74,L74)</f>
        <v/>
      </c>
    </row>
    <row r="75">
      <c r="A75" s="130" t="n">
        <v>74</v>
      </c>
      <c r="B75" s="130" t="inlineStr">
        <is>
          <t>IMPACTO</t>
        </is>
      </c>
      <c r="C75" s="130" t="inlineStr">
        <is>
          <t>Docentes do Programa em licença sem vencimento</t>
        </is>
      </c>
      <c r="D75" s="130" t="n"/>
      <c r="E75" s="130" t="inlineStr">
        <is>
          <t>Coordenação do MPEA</t>
        </is>
      </c>
      <c r="F75" s="130" t="n"/>
      <c r="G75" s="130" t="n"/>
      <c r="H75" s="130" t="n"/>
      <c r="I75" s="130" t="n"/>
      <c r="J75" s="130" t="n"/>
      <c r="K75" s="130" t="n"/>
      <c r="L75" s="130" t="inlineStr">
        <is>
          <t>OKR3</t>
        </is>
      </c>
      <c r="M75" s="130" t="inlineStr"/>
      <c r="N75" s="130" t="inlineStr">
        <is>
          <t>Demonstrar impacto social/tecnológico mensurável (casos de impacto, transferência, parcerias com serviços)</t>
        </is>
      </c>
      <c r="O75" s="130">
        <f>IF(M75&lt;&gt;"",M75,L75)</f>
        <v/>
      </c>
    </row>
    <row r="76">
      <c r="A76" s="130" t="n">
        <v>75</v>
      </c>
      <c r="B76" s="130" t="inlineStr">
        <is>
          <t>IMPACTO</t>
        </is>
      </c>
      <c r="C76" s="130" t="inlineStr">
        <is>
          <t>Falta de absorção dos egressos no mercado de trabalho</t>
        </is>
      </c>
      <c r="D76" s="130" t="n"/>
      <c r="E76" s="130" t="inlineStr">
        <is>
          <t>Comissão de Acompanhamento de Egressos</t>
        </is>
      </c>
      <c r="F76" s="130" t="n"/>
      <c r="G76" s="130" t="n"/>
      <c r="H76" s="130" t="n"/>
      <c r="I76" s="130" t="n"/>
      <c r="J76" s="130" t="n"/>
      <c r="K76" s="130" t="n"/>
      <c r="L76" s="130" t="inlineStr">
        <is>
          <t>OKR3</t>
        </is>
      </c>
      <c r="M76" s="130" t="inlineStr"/>
      <c r="N76" s="130" t="inlineStr">
        <is>
          <t>Demonstrar impacto social/tecnológico mensurável (casos de impacto, transferência, parcerias com serviços)</t>
        </is>
      </c>
      <c r="O76" s="130">
        <f>IF(M76&lt;&gt;"",M76,L76)</f>
        <v/>
      </c>
    </row>
    <row r="77">
      <c r="A77" s="130" t="n">
        <v>76</v>
      </c>
      <c r="B77" s="130" t="inlineStr">
        <is>
          <t>IMPACTO</t>
        </is>
      </c>
      <c r="C77" s="130" t="inlineStr">
        <is>
          <t>Mudanças e instabilidade dos itens de avaliação da CAPES  podendo implicar em redução do conceito do programa</t>
        </is>
      </c>
      <c r="D77" s="130" t="n"/>
      <c r="E77" s="130" t="inlineStr">
        <is>
          <t>Comissão de Monitoramento do Planejamento Estratégico</t>
        </is>
      </c>
      <c r="F77" s="130" t="n"/>
      <c r="G77" s="130" t="n"/>
      <c r="H77" s="130" t="n"/>
      <c r="I77" s="130" t="n"/>
      <c r="J77" s="130" t="n"/>
      <c r="K77" s="130" t="n"/>
      <c r="L77" s="130" t="inlineStr">
        <is>
          <t>OKR3</t>
        </is>
      </c>
      <c r="M77" s="130" t="inlineStr"/>
      <c r="N77" s="130" t="inlineStr">
        <is>
          <t>Demonstrar impacto social/tecnológico mensurável (casos de impacto, transferência, parcerias com serviços)</t>
        </is>
      </c>
      <c r="O77" s="130">
        <f>IF(M77&lt;&gt;"",M77,L77)</f>
        <v/>
      </c>
    </row>
    <row r="78">
      <c r="A78" s="130" t="n">
        <v>77</v>
      </c>
      <c r="B78" s="130" t="inlineStr">
        <is>
          <t>IMPACTO</t>
        </is>
      </c>
      <c r="C78" s="130" t="inlineStr">
        <is>
          <t>Falta de certificação para os especialistas</t>
        </is>
      </c>
      <c r="D78" s="130" t="n"/>
      <c r="E78" s="130" t="inlineStr">
        <is>
          <t>Coordenação do MPEA</t>
        </is>
      </c>
      <c r="F78" s="130" t="n"/>
      <c r="G78" s="130" t="n"/>
      <c r="H78" s="130" t="n"/>
      <c r="I78" s="130" t="n"/>
      <c r="J78" s="130" t="n"/>
      <c r="K78" s="130" t="n"/>
      <c r="L78" s="130" t="inlineStr">
        <is>
          <t>OKR3</t>
        </is>
      </c>
      <c r="M78" s="130" t="inlineStr"/>
      <c r="N78" s="130" t="inlineStr">
        <is>
          <t>Demonstrar impacto social/tecnológico mensurável (casos de impacto, transferência, parcerias com serviços)</t>
        </is>
      </c>
      <c r="O78" s="130">
        <f>IF(M78&lt;&gt;"",M78,L78)</f>
        <v/>
      </c>
    </row>
    <row r="79">
      <c r="A79" s="130" t="n">
        <v>78</v>
      </c>
      <c r="B79" s="130" t="inlineStr">
        <is>
          <t>IMPACTO</t>
        </is>
      </c>
      <c r="C79" s="130" t="inlineStr">
        <is>
          <t>Melhorar a adesão do egresso ao formulário de coleta de dados</t>
        </is>
      </c>
      <c r="D79" s="130" t="n"/>
      <c r="E79" s="130" t="inlineStr">
        <is>
          <t>Comissão de Acompanhamento de Egressos</t>
        </is>
      </c>
      <c r="F79" s="130" t="n"/>
      <c r="G79" s="130" t="n"/>
      <c r="H79" s="130" t="n"/>
      <c r="I79" s="130" t="n"/>
      <c r="J79" s="130" t="inlineStr">
        <is>
          <t>EM ANDAMENTO</t>
        </is>
      </c>
      <c r="K79" s="130" t="n"/>
      <c r="L79" s="130" t="inlineStr">
        <is>
          <t>OKR3</t>
        </is>
      </c>
      <c r="M79" s="130" t="inlineStr"/>
      <c r="N79" s="130" t="inlineStr">
        <is>
          <t>Demonstrar impacto social/tecnológico mensurável (casos de impacto, transferência, parcerias com serviços)</t>
        </is>
      </c>
      <c r="O79" s="130">
        <f>IF(M79&lt;&gt;"",M79,L79)</f>
        <v/>
      </c>
    </row>
    <row r="80">
      <c r="A80" s="130" t="n">
        <v>79</v>
      </c>
      <c r="B80" s="130" t="inlineStr">
        <is>
          <t>IMPACTO</t>
        </is>
      </c>
      <c r="C80" s="130" t="inlineStr">
        <is>
          <t>Impacto da realização de turma fora de sede</t>
        </is>
      </c>
      <c r="D80" s="130" t="inlineStr">
        <is>
          <t>Sustentar ações de solidariedade do programa</t>
        </is>
      </c>
      <c r="E80" s="130" t="inlineStr">
        <is>
          <t>Coordenação do MPEA</t>
        </is>
      </c>
      <c r="F80" s="130" t="n"/>
      <c r="G80" s="130" t="n"/>
      <c r="H80" s="130" t="n"/>
      <c r="I80" s="130" t="n"/>
      <c r="J80" s="130" t="inlineStr">
        <is>
          <t>EM ANDAMENTO</t>
        </is>
      </c>
      <c r="K80" s="130" t="n"/>
      <c r="L80" s="130" t="inlineStr">
        <is>
          <t>OKR3</t>
        </is>
      </c>
      <c r="M80" s="130" t="inlineStr"/>
      <c r="N80" s="130" t="inlineStr">
        <is>
          <t>Demonstrar impacto social/tecnológico mensurável (casos de impacto, transferência, parcerias com serviços)</t>
        </is>
      </c>
      <c r="O80" s="130">
        <f>IF(M80&lt;&gt;"",M80,L80)</f>
        <v/>
      </c>
    </row>
  </sheetData>
  <dataValidations count="1">
    <dataValidation sqref="M2:M80" showDropDown="0" showInputMessage="0" showErrorMessage="0" allowBlank="1" type="list">
      <formula1>"OKR1,OKR2,OKR3,OKR4,OKR5"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10" customWidth="1" style="108" min="3" max="3"/>
    <col width="49" customWidth="1" style="108" min="4" max="4"/>
    <col width="10" customWidth="1" style="108" min="5" max="5"/>
    <col width="10" customWidth="1" style="108" min="6" max="6"/>
    <col width="17" customWidth="1" style="108" min="7" max="7"/>
    <col width="10" customWidth="1" style="108" min="8" max="8"/>
    <col width="10" customWidth="1" style="108" min="9" max="9"/>
    <col width="10" customWidth="1" style="108" min="10" max="10"/>
    <col width="10" customWidth="1" style="108" min="11" max="11"/>
    <col width="10" customWidth="1" style="108" min="12" max="12"/>
  </cols>
  <sheetData>
    <row r="1">
      <c r="A1" s="129" t="inlineStr">
        <is>
          <t>KPI_ID</t>
        </is>
      </c>
      <c r="B1" s="129" t="inlineStr">
        <is>
          <t>OKR_ID</t>
        </is>
      </c>
      <c r="C1" s="129" t="inlineStr">
        <is>
          <t>KR_ID</t>
        </is>
      </c>
      <c r="D1" s="129" t="inlineStr">
        <is>
          <t>KPI</t>
        </is>
      </c>
      <c r="E1" s="129" t="inlineStr">
        <is>
          <t>Unidade</t>
        </is>
      </c>
      <c r="F1" s="129" t="inlineStr">
        <is>
          <t>Frequência</t>
        </is>
      </c>
      <c r="G1" s="129" t="inlineStr">
        <is>
          <t>Fonte</t>
        </is>
      </c>
      <c r="H1" s="129" t="inlineStr">
        <is>
          <t>Baseline</t>
        </is>
      </c>
      <c r="I1" s="129" t="inlineStr">
        <is>
          <t>Meta</t>
        </is>
      </c>
      <c r="J1" s="129" t="inlineStr">
        <is>
          <t>Atual</t>
        </is>
      </c>
      <c r="K1" s="129" t="inlineStr">
        <is>
          <t>%Progresso</t>
        </is>
      </c>
      <c r="L1" s="129" t="inlineStr">
        <is>
          <t>Status_RAG</t>
        </is>
      </c>
    </row>
    <row r="2">
      <c r="A2" s="130" t="inlineStr">
        <is>
          <t>KPI01</t>
        </is>
      </c>
      <c r="B2" s="130" t="inlineStr">
        <is>
          <t>OKR1</t>
        </is>
      </c>
      <c r="C2" s="130" t="inlineStr">
        <is>
          <t>OKR1.KR1</t>
        </is>
      </c>
      <c r="D2" s="130" t="inlineStr">
        <is>
          <t>% LP/LACT revisadas e alinhadas</t>
        </is>
      </c>
      <c r="E2" s="130" t="inlineStr">
        <is>
          <t>%</t>
        </is>
      </c>
      <c r="F2" s="130" t="inlineStr">
        <is>
          <t>Anual</t>
        </is>
      </c>
      <c r="G2" s="130" t="inlineStr">
        <is>
          <t>PPG/Atas</t>
        </is>
      </c>
      <c r="H2" s="130" t="inlineStr"/>
      <c r="I2" s="130" t="inlineStr"/>
      <c r="J2" s="130" t="inlineStr"/>
      <c r="K2" s="131">
        <f>IF(OR(I2="",J2=""),"",IFERROR((J2-H2)/(I2-H2),""))</f>
        <v/>
      </c>
      <c r="L2" s="130">
        <f>IF(K2="","",IF(K2&gt;=0.8,"VERDE",IF(K2&gt;=0.5,"AMARELO","VERMELHO")))</f>
        <v/>
      </c>
    </row>
    <row r="3">
      <c r="A3" s="130" t="inlineStr">
        <is>
          <t>KPI02</t>
        </is>
      </c>
      <c r="B3" s="130" t="inlineStr">
        <is>
          <t>OKR1</t>
        </is>
      </c>
      <c r="C3" s="130" t="inlineStr">
        <is>
          <t>OKR1.KR2</t>
        </is>
      </c>
      <c r="D3" s="130" t="inlineStr">
        <is>
          <t>Estabilidade do DP</t>
        </is>
      </c>
      <c r="E3" s="130" t="inlineStr">
        <is>
          <t>%</t>
        </is>
      </c>
      <c r="F3" s="130" t="inlineStr">
        <is>
          <t>Semestral</t>
        </is>
      </c>
      <c r="G3" s="130" t="inlineStr">
        <is>
          <t>Sucupira/RH</t>
        </is>
      </c>
      <c r="H3" s="130" t="inlineStr"/>
      <c r="I3" s="130" t="inlineStr"/>
      <c r="J3" s="130" t="inlineStr"/>
      <c r="K3" s="131">
        <f>IF(OR(I3="",J3=""),"",IFERROR((J3-H3)/(I3-H3),""))</f>
        <v/>
      </c>
      <c r="L3" s="130">
        <f>IF(K3="","",IF(K3&gt;=0.8,"VERDE",IF(K3&gt;=0.5,"AMARELO","VERMELHO")))</f>
        <v/>
      </c>
    </row>
    <row r="4">
      <c r="A4" s="130" t="inlineStr">
        <is>
          <t>KPI03</t>
        </is>
      </c>
      <c r="B4" s="130" t="inlineStr">
        <is>
          <t>OKR1</t>
        </is>
      </c>
      <c r="C4" s="130" t="inlineStr">
        <is>
          <t>OKR1.KR3</t>
        </is>
      </c>
      <c r="D4" s="130" t="inlineStr">
        <is>
          <t>DP com PP financiado</t>
        </is>
      </c>
      <c r="E4" s="130" t="inlineStr">
        <is>
          <t>%</t>
        </is>
      </c>
      <c r="F4" s="130" t="inlineStr">
        <is>
          <t>Anual</t>
        </is>
      </c>
      <c r="G4" s="130" t="inlineStr">
        <is>
          <t>Sucupira/Projetos</t>
        </is>
      </c>
      <c r="H4" s="130" t="inlineStr"/>
      <c r="I4" s="130" t="inlineStr"/>
      <c r="J4" s="130" t="inlineStr"/>
      <c r="K4" s="131">
        <f>IF(OR(I4="",J4=""),"",IFERROR((J4-H4)/(I4-H4),""))</f>
        <v/>
      </c>
      <c r="L4" s="130">
        <f>IF(K4="","",IF(K4&gt;=0.8,"VERDE",IF(K4&gt;=0.5,"AMARELO","VERMELHO")))</f>
        <v/>
      </c>
    </row>
    <row r="5">
      <c r="A5" s="130" t="inlineStr">
        <is>
          <t>KPI04</t>
        </is>
      </c>
      <c r="B5" s="130" t="inlineStr">
        <is>
          <t>OKR1</t>
        </is>
      </c>
      <c r="C5" s="130" t="inlineStr">
        <is>
          <t>OKR1.KR3</t>
        </is>
      </c>
      <c r="D5" s="130" t="inlineStr">
        <is>
          <t>DP bolsista (PQ/DT)</t>
        </is>
      </c>
      <c r="E5" s="130" t="inlineStr">
        <is>
          <t>%</t>
        </is>
      </c>
      <c r="F5" s="130" t="inlineStr">
        <is>
          <t>Anual</t>
        </is>
      </c>
      <c r="G5" s="130" t="inlineStr">
        <is>
          <t>CNPq/FAP</t>
        </is>
      </c>
      <c r="H5" s="130" t="inlineStr"/>
      <c r="I5" s="130" t="inlineStr"/>
      <c r="J5" s="130" t="inlineStr"/>
      <c r="K5" s="131">
        <f>IF(OR(I5="",J5=""),"",IFERROR((J5-H5)/(I5-H5),""))</f>
        <v/>
      </c>
      <c r="L5" s="130">
        <f>IF(K5="","",IF(K5&gt;=0.8,"VERDE",IF(K5&gt;=0.5,"AMARELO","VERMELHO")))</f>
        <v/>
      </c>
    </row>
    <row r="6">
      <c r="A6" s="130" t="inlineStr">
        <is>
          <t>KPI05</t>
        </is>
      </c>
      <c r="B6" s="130" t="inlineStr">
        <is>
          <t>OKR1</t>
        </is>
      </c>
      <c r="C6" s="130" t="inlineStr">
        <is>
          <t>OKR1.KR4</t>
        </is>
      </c>
      <c r="D6" s="130" t="inlineStr">
        <is>
          <t>Ciclos de autoavaliação concluídos</t>
        </is>
      </c>
      <c r="E6" s="130" t="inlineStr">
        <is>
          <t>n</t>
        </is>
      </c>
      <c r="F6" s="130" t="inlineStr">
        <is>
          <t>Anual</t>
        </is>
      </c>
      <c r="G6" s="130" t="inlineStr">
        <is>
          <t>Relatórios</t>
        </is>
      </c>
      <c r="H6" s="130" t="inlineStr"/>
      <c r="I6" s="130" t="inlineStr"/>
      <c r="J6" s="130" t="inlineStr"/>
      <c r="K6" s="131">
        <f>IF(OR(I6="",J6=""),"",IFERROR((J6-H6)/(I6-H6),""))</f>
        <v/>
      </c>
      <c r="L6" s="130">
        <f>IF(K6="","",IF(K6&gt;=0.8,"VERDE",IF(K6&gt;=0.5,"AMARELO","VERMELHO")))</f>
        <v/>
      </c>
    </row>
    <row r="7">
      <c r="A7" s="130" t="inlineStr">
        <is>
          <t>KPI06</t>
        </is>
      </c>
      <c r="B7" s="130" t="inlineStr">
        <is>
          <t>OKR2</t>
        </is>
      </c>
      <c r="C7" s="130" t="inlineStr">
        <is>
          <t>OKR2.KR1</t>
        </is>
      </c>
      <c r="D7" s="130" t="inlineStr">
        <is>
          <t>% produção A1+A2</t>
        </is>
      </c>
      <c r="E7" s="130" t="inlineStr">
        <is>
          <t>%</t>
        </is>
      </c>
      <c r="F7" s="130" t="inlineStr">
        <is>
          <t>Trimestral</t>
        </is>
      </c>
      <c r="G7" s="130" t="inlineStr">
        <is>
          <t>Sucupira</t>
        </is>
      </c>
      <c r="H7" s="130" t="inlineStr"/>
      <c r="I7" s="130" t="inlineStr"/>
      <c r="J7" s="130" t="inlineStr"/>
      <c r="K7" s="131">
        <f>IF(OR(I7="",J7=""),"",IFERROR((J7-H7)/(I7-H7),""))</f>
        <v/>
      </c>
      <c r="L7" s="130">
        <f>IF(K7="","",IF(K7&gt;=0.8,"VERDE",IF(K7&gt;=0.5,"AMARELO","VERMELHO")))</f>
        <v/>
      </c>
    </row>
    <row r="8">
      <c r="A8" s="130" t="inlineStr">
        <is>
          <t>KPI07</t>
        </is>
      </c>
      <c r="B8" s="130" t="inlineStr">
        <is>
          <t>OKR2</t>
        </is>
      </c>
      <c r="C8" s="130" t="inlineStr">
        <is>
          <t>OKR2.KR2</t>
        </is>
      </c>
      <c r="D8" s="130" t="inlineStr">
        <is>
          <t>% discentes/egressos com publicação top-2</t>
        </is>
      </c>
      <c r="E8" s="130" t="inlineStr">
        <is>
          <t>%</t>
        </is>
      </c>
      <c r="F8" s="130" t="inlineStr">
        <is>
          <t>Semestral</t>
        </is>
      </c>
      <c r="G8" s="130" t="inlineStr">
        <is>
          <t>Sucupira</t>
        </is>
      </c>
      <c r="H8" s="130" t="inlineStr"/>
      <c r="I8" s="130" t="inlineStr"/>
      <c r="J8" s="130" t="inlineStr"/>
      <c r="K8" s="131">
        <f>IF(OR(I8="",J8=""),"",IFERROR((J8-H8)/(I8-H8),""))</f>
        <v/>
      </c>
      <c r="L8" s="130">
        <f>IF(K8="","",IF(K8&gt;=0.8,"VERDE",IF(K8&gt;=0.5,"AMARELO","VERMELHO")))</f>
        <v/>
      </c>
    </row>
    <row r="9">
      <c r="A9" s="130" t="inlineStr">
        <is>
          <t>KPI08</t>
        </is>
      </c>
      <c r="B9" s="130" t="inlineStr">
        <is>
          <t>OKR2</t>
        </is>
      </c>
      <c r="C9" s="130" t="inlineStr">
        <is>
          <t>OKR2.KR2</t>
        </is>
      </c>
      <c r="D9" s="130" t="inlineStr">
        <is>
          <t>% discentes/egressos com publicação top-4</t>
        </is>
      </c>
      <c r="E9" s="130" t="inlineStr">
        <is>
          <t>%</t>
        </is>
      </c>
      <c r="F9" s="130" t="inlineStr">
        <is>
          <t>Semestral</t>
        </is>
      </c>
      <c r="G9" s="130" t="inlineStr">
        <is>
          <t>Sucupira</t>
        </is>
      </c>
      <c r="H9" s="130" t="inlineStr"/>
      <c r="I9" s="130" t="inlineStr"/>
      <c r="J9" s="130" t="inlineStr"/>
      <c r="K9" s="131">
        <f>IF(OR(I9="",J9=""),"",IFERROR((J9-H9)/(I9-H9),""))</f>
        <v/>
      </c>
      <c r="L9" s="130">
        <f>IF(K9="","",IF(K9&gt;=0.8,"VERDE",IF(K9&gt;=0.5,"AMARELO","VERMELHO")))</f>
        <v/>
      </c>
    </row>
    <row r="10">
      <c r="A10" s="130" t="inlineStr">
        <is>
          <t>KPI09</t>
        </is>
      </c>
      <c r="B10" s="130" t="inlineStr">
        <is>
          <t>OKR2</t>
        </is>
      </c>
      <c r="C10" s="130" t="inlineStr">
        <is>
          <t>OKR2.KR3</t>
        </is>
      </c>
      <c r="D10" s="130" t="inlineStr">
        <is>
          <t>% teses/dissertações indicadas indexadas</t>
        </is>
      </c>
      <c r="E10" s="130" t="inlineStr">
        <is>
          <t>%</t>
        </is>
      </c>
      <c r="F10" s="130" t="inlineStr">
        <is>
          <t>Anual</t>
        </is>
      </c>
      <c r="G10" s="130" t="inlineStr">
        <is>
          <t>BDENF/LILACS</t>
        </is>
      </c>
      <c r="H10" s="130" t="inlineStr"/>
      <c r="I10" s="130" t="inlineStr"/>
      <c r="J10" s="130" t="inlineStr"/>
      <c r="K10" s="131">
        <f>IF(OR(I10="",J10=""),"",IFERROR((J10-H10)/(I10-H10),""))</f>
        <v/>
      </c>
      <c r="L10" s="130">
        <f>IF(K10="","",IF(K10&gt;=0.8,"VERDE",IF(K10&gt;=0.5,"AMARELO","VERMELHO")))</f>
        <v/>
      </c>
    </row>
    <row r="11">
      <c r="A11" s="130" t="inlineStr">
        <is>
          <t>KPI10</t>
        </is>
      </c>
      <c r="B11" s="130" t="inlineStr">
        <is>
          <t>OKR2</t>
        </is>
      </c>
      <c r="C11" s="130" t="inlineStr">
        <is>
          <t>OKR2.KR4</t>
        </is>
      </c>
      <c r="D11" s="130" t="inlineStr">
        <is>
          <t>% DP com produção mínima recomendada</t>
        </is>
      </c>
      <c r="E11" s="130" t="inlineStr">
        <is>
          <t>%</t>
        </is>
      </c>
      <c r="F11" s="130" t="inlineStr">
        <is>
          <t>Semestral</t>
        </is>
      </c>
      <c r="G11" s="130" t="inlineStr">
        <is>
          <t>Produção docente</t>
        </is>
      </c>
      <c r="H11" s="130" t="inlineStr"/>
      <c r="I11" s="130" t="inlineStr"/>
      <c r="J11" s="130" t="inlineStr"/>
      <c r="K11" s="131">
        <f>IF(OR(I11="",J11=""),"",IFERROR((J11-H11)/(I11-H11),""))</f>
        <v/>
      </c>
      <c r="L11" s="130">
        <f>IF(K11="","",IF(K11&gt;=0.8,"VERDE",IF(K11&gt;=0.5,"AMARELO","VERMELHO")))</f>
        <v/>
      </c>
    </row>
    <row r="12">
      <c r="A12" s="130" t="inlineStr">
        <is>
          <t>KPI11</t>
        </is>
      </c>
      <c r="B12" s="130" t="inlineStr">
        <is>
          <t>OKR3</t>
        </is>
      </c>
      <c r="C12" s="130" t="inlineStr">
        <is>
          <t>OKR3.KR1</t>
        </is>
      </c>
      <c r="D12" s="130" t="inlineStr">
        <is>
          <t>Nº casos de impacto com evidências</t>
        </is>
      </c>
      <c r="E12" s="130" t="inlineStr">
        <is>
          <t>n</t>
        </is>
      </c>
      <c r="F12" s="130" t="inlineStr">
        <is>
          <t>Semestral</t>
        </is>
      </c>
      <c r="G12" s="130" t="inlineStr">
        <is>
          <t>Dossiês</t>
        </is>
      </c>
      <c r="H12" s="130" t="inlineStr"/>
      <c r="I12" s="130" t="inlineStr"/>
      <c r="J12" s="130" t="inlineStr"/>
      <c r="K12" s="131">
        <f>IF(OR(I12="",J12=""),"",IFERROR((J12-H12)/(I12-H12),""))</f>
        <v/>
      </c>
      <c r="L12" s="130">
        <f>IF(K12="","",IF(K12&gt;=0.8,"VERDE",IF(K12&gt;=0.5,"AMARELO","VERMELHO")))</f>
        <v/>
      </c>
    </row>
    <row r="13">
      <c r="A13" s="130" t="inlineStr">
        <is>
          <t>KPI12</t>
        </is>
      </c>
      <c r="B13" s="130" t="inlineStr">
        <is>
          <t>OKR3</t>
        </is>
      </c>
      <c r="C13" s="130" t="inlineStr">
        <is>
          <t>OKR3.KR1</t>
        </is>
      </c>
      <c r="D13" s="130" t="inlineStr">
        <is>
          <t>% casos de impacto com participação discente</t>
        </is>
      </c>
      <c r="E13" s="130" t="inlineStr">
        <is>
          <t>%</t>
        </is>
      </c>
      <c r="F13" s="130" t="inlineStr">
        <is>
          <t>Semestral</t>
        </is>
      </c>
      <c r="G13" s="130" t="inlineStr">
        <is>
          <t>Dossiês</t>
        </is>
      </c>
      <c r="H13" s="130" t="inlineStr"/>
      <c r="I13" s="130" t="inlineStr"/>
      <c r="J13" s="130" t="inlineStr"/>
      <c r="K13" s="131">
        <f>IF(OR(I13="",J13=""),"",IFERROR((J13-H13)/(I13-H13),""))</f>
        <v/>
      </c>
      <c r="L13" s="130">
        <f>IF(K13="","",IF(K13&gt;=0.8,"VERDE",IF(K13&gt;=0.5,"AMARELO","VERMELHO")))</f>
        <v/>
      </c>
    </row>
    <row r="14">
      <c r="A14" s="130" t="inlineStr">
        <is>
          <t>KPI13</t>
        </is>
      </c>
      <c r="B14" s="130" t="inlineStr">
        <is>
          <t>OKR3</t>
        </is>
      </c>
      <c r="C14" s="130" t="inlineStr">
        <is>
          <t>OKR3.KR3</t>
        </is>
      </c>
      <c r="D14" s="130" t="inlineStr">
        <is>
          <t>Nº parcerias formais com serviços</t>
        </is>
      </c>
      <c r="E14" s="130" t="inlineStr">
        <is>
          <t>n</t>
        </is>
      </c>
      <c r="F14" s="130" t="inlineStr">
        <is>
          <t>Trimestral</t>
        </is>
      </c>
      <c r="G14" s="130" t="inlineStr">
        <is>
          <t>Convênios</t>
        </is>
      </c>
      <c r="H14" s="130" t="inlineStr"/>
      <c r="I14" s="130" t="inlineStr"/>
      <c r="J14" s="130" t="inlineStr"/>
      <c r="K14" s="131">
        <f>IF(OR(I14="",J14=""),"",IFERROR((J14-H14)/(I14-H14),""))</f>
        <v/>
      </c>
      <c r="L14" s="130">
        <f>IF(K14="","",IF(K14&gt;=0.8,"VERDE",IF(K14&gt;=0.5,"AMARELO","VERMELHO")))</f>
        <v/>
      </c>
    </row>
    <row r="15">
      <c r="A15" s="130" t="inlineStr">
        <is>
          <t>KPI14</t>
        </is>
      </c>
      <c r="B15" s="130" t="inlineStr">
        <is>
          <t>OKR3</t>
        </is>
      </c>
      <c r="C15" s="130" t="inlineStr">
        <is>
          <t>OKR3.KR2</t>
        </is>
      </c>
      <c r="D15" s="130" t="inlineStr">
        <is>
          <t>Nº projetos com potencial de inovação monitorados</t>
        </is>
      </c>
      <c r="E15" s="130" t="inlineStr">
        <is>
          <t>n</t>
        </is>
      </c>
      <c r="F15" s="130" t="inlineStr">
        <is>
          <t>Anual</t>
        </is>
      </c>
      <c r="G15" s="130" t="inlineStr">
        <is>
          <t>Portfólio</t>
        </is>
      </c>
      <c r="H15" s="130" t="inlineStr"/>
      <c r="I15" s="130" t="inlineStr"/>
      <c r="J15" s="130" t="inlineStr"/>
      <c r="K15" s="131">
        <f>IF(OR(I15="",J15=""),"",IFERROR((J15-H15)/(I15-H15),""))</f>
        <v/>
      </c>
      <c r="L15" s="130">
        <f>IF(K15="","",IF(K15&gt;=0.8,"VERDE",IF(K15&gt;=0.5,"AMARELO","VERMELHO")))</f>
        <v/>
      </c>
    </row>
    <row r="16">
      <c r="A16" s="130" t="inlineStr">
        <is>
          <t>KPI15</t>
        </is>
      </c>
      <c r="B16" s="130" t="inlineStr">
        <is>
          <t>OKR4</t>
        </is>
      </c>
      <c r="C16" s="130" t="inlineStr">
        <is>
          <t>OKR4.KR1</t>
        </is>
      </c>
      <c r="D16" s="130" t="inlineStr">
        <is>
          <t>% DP com ≥3 ações internacionais</t>
        </is>
      </c>
      <c r="E16" s="130" t="inlineStr">
        <is>
          <t>%</t>
        </is>
      </c>
      <c r="F16" s="130" t="inlineStr">
        <is>
          <t>Anual</t>
        </is>
      </c>
      <c r="G16" s="130" t="inlineStr">
        <is>
          <t>Sucupira</t>
        </is>
      </c>
      <c r="H16" s="130" t="inlineStr"/>
      <c r="I16" s="130" t="inlineStr"/>
      <c r="J16" s="130" t="inlineStr"/>
      <c r="K16" s="131">
        <f>IF(OR(I16="",J16=""),"",IFERROR((J16-H16)/(I16-H16),""))</f>
        <v/>
      </c>
      <c r="L16" s="130">
        <f>IF(K16="","",IF(K16&gt;=0.8,"VERDE",IF(K16&gt;=0.5,"AMARELO","VERMELHO")))</f>
        <v/>
      </c>
    </row>
    <row r="17">
      <c r="A17" s="130" t="inlineStr">
        <is>
          <t>KPI16</t>
        </is>
      </c>
      <c r="B17" s="130" t="inlineStr">
        <is>
          <t>OKR4</t>
        </is>
      </c>
      <c r="C17" s="130" t="inlineStr">
        <is>
          <t>OKR4.KR2</t>
        </is>
      </c>
      <c r="D17" s="130" t="inlineStr">
        <is>
          <t>% publicações com coautoria internacional</t>
        </is>
      </c>
      <c r="E17" s="130" t="inlineStr">
        <is>
          <t>%</t>
        </is>
      </c>
      <c r="F17" s="130" t="inlineStr">
        <is>
          <t>Semestral</t>
        </is>
      </c>
      <c r="G17" s="130" t="inlineStr">
        <is>
          <t>Produção</t>
        </is>
      </c>
      <c r="H17" s="130" t="inlineStr"/>
      <c r="I17" s="130" t="inlineStr"/>
      <c r="J17" s="130" t="inlineStr"/>
      <c r="K17" s="131">
        <f>IF(OR(I17="",J17=""),"",IFERROR((J17-H17)/(I17-H17),""))</f>
        <v/>
      </c>
      <c r="L17" s="130">
        <f>IF(K17="","",IF(K17&gt;=0.8,"VERDE",IF(K17&gt;=0.5,"AMARELO","VERMELHO")))</f>
        <v/>
      </c>
    </row>
    <row r="18">
      <c r="A18" s="130" t="inlineStr">
        <is>
          <t>KPI17</t>
        </is>
      </c>
      <c r="B18" s="130" t="inlineStr">
        <is>
          <t>OKR4</t>
        </is>
      </c>
      <c r="C18" s="130" t="inlineStr">
        <is>
          <t>OKR4.KR3</t>
        </is>
      </c>
      <c r="D18" s="130" t="inlineStr">
        <is>
          <t>Nº disciplinas em idioma estrangeiro</t>
        </is>
      </c>
      <c r="E18" s="130" t="inlineStr">
        <is>
          <t>n</t>
        </is>
      </c>
      <c r="F18" s="130" t="inlineStr">
        <is>
          <t>Semestral</t>
        </is>
      </c>
      <c r="G18" s="130" t="inlineStr">
        <is>
          <t>Ofertas</t>
        </is>
      </c>
      <c r="H18" s="130" t="inlineStr"/>
      <c r="I18" s="130" t="inlineStr"/>
      <c r="J18" s="130" t="inlineStr"/>
      <c r="K18" s="131">
        <f>IF(OR(I18="",J18=""),"",IFERROR((J18-H18)/(I18-H18),""))</f>
        <v/>
      </c>
      <c r="L18" s="130">
        <f>IF(K18="","",IF(K18&gt;=0.8,"VERDE",IF(K18&gt;=0.5,"AMARELO","VERMELHO")))</f>
        <v/>
      </c>
    </row>
    <row r="19">
      <c r="A19" s="130" t="inlineStr">
        <is>
          <t>KPI18</t>
        </is>
      </c>
      <c r="B19" s="130" t="inlineStr">
        <is>
          <t>OKR4</t>
        </is>
      </c>
      <c r="C19" s="130" t="inlineStr">
        <is>
          <t>OKR4.KR3</t>
        </is>
      </c>
      <c r="D19" s="130" t="inlineStr">
        <is>
          <t>Nº mobilidades internacionais (discente/DP)</t>
        </is>
      </c>
      <c r="E19" s="130" t="inlineStr">
        <is>
          <t>n</t>
        </is>
      </c>
      <c r="F19" s="130" t="inlineStr">
        <is>
          <t>Semestral</t>
        </is>
      </c>
      <c r="G19" s="130" t="inlineStr">
        <is>
          <t>Registros</t>
        </is>
      </c>
      <c r="H19" s="130" t="inlineStr"/>
      <c r="I19" s="130" t="inlineStr"/>
      <c r="J19" s="130" t="inlineStr"/>
      <c r="K19" s="131">
        <f>IF(OR(I19="",J19=""),"",IFERROR((J19-H19)/(I19-H19),""))</f>
        <v/>
      </c>
      <c r="L19" s="130">
        <f>IF(K19="","",IF(K19&gt;=0.8,"VERDE",IF(K19&gt;=0.5,"AMARELO","VERMELHO")))</f>
        <v/>
      </c>
    </row>
    <row r="20">
      <c r="A20" s="130" t="inlineStr">
        <is>
          <t>KPI19</t>
        </is>
      </c>
      <c r="B20" s="130" t="inlineStr">
        <is>
          <t>OKR5</t>
        </is>
      </c>
      <c r="C20" s="130" t="inlineStr">
        <is>
          <t>OKR5.KR1</t>
        </is>
      </c>
      <c r="D20" s="130" t="inlineStr">
        <is>
          <t>% DP com ≥3 ações de inserção regional/nacional</t>
        </is>
      </c>
      <c r="E20" s="130" t="inlineStr">
        <is>
          <t>%</t>
        </is>
      </c>
      <c r="F20" s="130" t="inlineStr">
        <is>
          <t>Anual</t>
        </is>
      </c>
      <c r="G20" s="130" t="inlineStr">
        <is>
          <t>Sucupira</t>
        </is>
      </c>
      <c r="H20" s="130" t="inlineStr"/>
      <c r="I20" s="130" t="inlineStr"/>
      <c r="J20" s="130" t="inlineStr"/>
      <c r="K20" s="131">
        <f>IF(OR(I20="",J20=""),"",IFERROR((J20-H20)/(I20-H20),""))</f>
        <v/>
      </c>
      <c r="L20" s="130">
        <f>IF(K20="","",IF(K20&gt;=0.8,"VERDE",IF(K20&gt;=0.5,"AMARELO","VERMELHO")))</f>
        <v/>
      </c>
    </row>
    <row r="21">
      <c r="A21" s="130" t="inlineStr">
        <is>
          <t>KPI20</t>
        </is>
      </c>
      <c r="B21" s="130" t="inlineStr">
        <is>
          <t>OKR5</t>
        </is>
      </c>
      <c r="C21" s="130" t="inlineStr">
        <is>
          <t>OKR5.KR2</t>
        </is>
      </c>
      <c r="D21" s="130" t="inlineStr">
        <is>
          <t>Checklist de página do PPG (PT/EN/ES)</t>
        </is>
      </c>
      <c r="E21" s="130" t="inlineStr">
        <is>
          <t>%</t>
        </is>
      </c>
      <c r="F21" s="130" t="inlineStr">
        <is>
          <t>Trimestral</t>
        </is>
      </c>
      <c r="G21" s="130" t="inlineStr">
        <is>
          <t>Site</t>
        </is>
      </c>
      <c r="H21" s="130" t="inlineStr"/>
      <c r="I21" s="130" t="inlineStr"/>
      <c r="J21" s="130" t="inlineStr"/>
      <c r="K21" s="131">
        <f>IF(OR(I21="",J21=""),"",IFERROR((J21-H21)/(I21-H21),""))</f>
        <v/>
      </c>
      <c r="L21" s="130">
        <f>IF(K21="","",IF(K21&gt;=0.8,"VERDE",IF(K21&gt;=0.5,"AMARELO","VERMELHO")))</f>
        <v/>
      </c>
    </row>
    <row r="22">
      <c r="A22" s="130" t="inlineStr">
        <is>
          <t>KPI21</t>
        </is>
      </c>
      <c r="B22" s="130" t="inlineStr">
        <is>
          <t>OKR5</t>
        </is>
      </c>
      <c r="C22" s="130" t="inlineStr">
        <is>
          <t>OKR5.KR3</t>
        </is>
      </c>
      <c r="D22" s="130" t="inlineStr">
        <is>
          <t>Nº ações de popularização da ciência</t>
        </is>
      </c>
      <c r="E22" s="130" t="inlineStr">
        <is>
          <t>n</t>
        </is>
      </c>
      <c r="F22" s="130" t="inlineStr">
        <is>
          <t>Trimestral</t>
        </is>
      </c>
      <c r="G22" s="130" t="inlineStr">
        <is>
          <t>Comunicação/PPG</t>
        </is>
      </c>
      <c r="H22" s="130" t="inlineStr"/>
      <c r="I22" s="130" t="inlineStr"/>
      <c r="J22" s="130" t="inlineStr"/>
      <c r="K22" s="131">
        <f>IF(OR(I22="",J22=""),"",IFERROR((J22-H22)/(I22-H22),""))</f>
        <v/>
      </c>
      <c r="L22" s="130">
        <f>IF(K22="","",IF(K22&gt;=0.8,"VERDE",IF(K22&gt;=0.5,"AMARELO","VERMELHO")))</f>
        <v/>
      </c>
    </row>
    <row r="23">
      <c r="A23" s="130" t="inlineStr">
        <is>
          <t>KPI22</t>
        </is>
      </c>
      <c r="B23" s="130" t="inlineStr">
        <is>
          <t>OKR5</t>
        </is>
      </c>
      <c r="C23" s="130" t="inlineStr">
        <is>
          <t>OKR5.KR3</t>
        </is>
      </c>
      <c r="D23" s="130" t="inlineStr">
        <is>
          <t>Alcance estimado das ações (público)</t>
        </is>
      </c>
      <c r="E23" s="130" t="inlineStr">
        <is>
          <t>n</t>
        </is>
      </c>
      <c r="F23" s="130" t="inlineStr">
        <is>
          <t>Trimestral</t>
        </is>
      </c>
      <c r="G23" s="130" t="inlineStr">
        <is>
          <t>Relatórios</t>
        </is>
      </c>
      <c r="H23" s="130" t="inlineStr"/>
      <c r="I23" s="130" t="inlineStr"/>
      <c r="J23" s="130" t="inlineStr"/>
      <c r="K23" s="131">
        <f>IF(OR(I23="",J23=""),"",IFERROR((J23-H23)/(I23-H23),""))</f>
        <v/>
      </c>
      <c r="L23" s="130">
        <f>IF(K23="","",IF(K23&gt;=0.8,"VERDE",IF(K23&gt;=0.5,"AMARELO","VERMELHO")))</f>
        <v/>
      </c>
    </row>
  </sheetData>
  <conditionalFormatting sqref="K2:K2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108" min="1" max="1"/>
    <col width="18" customWidth="1" style="108" min="2" max="2"/>
    <col width="10" customWidth="1" style="108" min="3" max="3"/>
  </cols>
  <sheetData>
    <row r="1">
      <c r="A1" s="109" t="inlineStr">
        <is>
          <t>Resumo de Ações por OKR</t>
        </is>
      </c>
    </row>
    <row r="3">
      <c r="A3" s="132" t="inlineStr">
        <is>
          <t>Ações por OKR (sugerida)</t>
        </is>
      </c>
    </row>
    <row r="4">
      <c r="A4" s="129" t="inlineStr">
        <is>
          <t>OKR_ID_SUGERIDA</t>
        </is>
      </c>
      <c r="B4" s="129" t="inlineStr">
        <is>
          <t>N_Ações</t>
        </is>
      </c>
    </row>
    <row r="5">
      <c r="A5" s="133" t="inlineStr">
        <is>
          <t>OKR1</t>
        </is>
      </c>
      <c r="B5" s="133" t="n">
        <v>9</v>
      </c>
    </row>
    <row r="6">
      <c r="A6" s="133" t="inlineStr">
        <is>
          <t>OKR2</t>
        </is>
      </c>
      <c r="B6" s="133" t="n">
        <v>25</v>
      </c>
    </row>
    <row r="7">
      <c r="A7" s="133" t="inlineStr">
        <is>
          <t>OKR3</t>
        </is>
      </c>
      <c r="B7" s="133" t="n">
        <v>21</v>
      </c>
    </row>
    <row r="8">
      <c r="A8" s="133" t="inlineStr">
        <is>
          <t>OKR4</t>
        </is>
      </c>
      <c r="B8" s="133" t="n">
        <v>12</v>
      </c>
    </row>
    <row r="9">
      <c r="A9" s="133" t="inlineStr">
        <is>
          <t>OKR5</t>
        </is>
      </c>
      <c r="B9" s="133" t="n">
        <v>12</v>
      </c>
    </row>
    <row r="13">
      <c r="A13" s="132" t="inlineStr">
        <is>
          <t>Ações por OKR e Status</t>
        </is>
      </c>
    </row>
    <row r="14">
      <c r="A14" s="129" t="inlineStr">
        <is>
          <t>OKR_ID_SUGERIDA</t>
        </is>
      </c>
      <c r="B14" s="129" t="inlineStr">
        <is>
          <t>STATUS</t>
        </is>
      </c>
      <c r="C14" s="129" t="inlineStr">
        <is>
          <t>N</t>
        </is>
      </c>
    </row>
    <row r="15">
      <c r="A15" s="130" t="inlineStr">
        <is>
          <t>OKR1</t>
        </is>
      </c>
      <c r="B15" s="130" t="inlineStr">
        <is>
          <t>EM ANDAMENTO</t>
        </is>
      </c>
      <c r="C15" s="130" t="n">
        <v>5</v>
      </c>
    </row>
    <row r="16">
      <c r="A16" s="130" t="inlineStr">
        <is>
          <t>OKR1</t>
        </is>
      </c>
      <c r="B16" s="130" t="inlineStr">
        <is>
          <t>PENDENTE</t>
        </is>
      </c>
      <c r="C16" s="130" t="n">
        <v>4</v>
      </c>
    </row>
    <row r="17">
      <c r="A17" s="130" t="inlineStr">
        <is>
          <t>OKR2</t>
        </is>
      </c>
      <c r="B17" s="130" t="inlineStr">
        <is>
          <t>EM ANDAMENTO</t>
        </is>
      </c>
      <c r="C17" s="130" t="n">
        <v>17</v>
      </c>
    </row>
    <row r="18">
      <c r="A18" s="130" t="inlineStr">
        <is>
          <t>OKR2</t>
        </is>
      </c>
      <c r="B18" s="130" t="inlineStr">
        <is>
          <t>PENDENTE</t>
        </is>
      </c>
      <c r="C18" s="130" t="n">
        <v>8</v>
      </c>
    </row>
    <row r="19">
      <c r="A19" s="130" t="inlineStr">
        <is>
          <t>OKR3</t>
        </is>
      </c>
      <c r="B19" s="130" t="inlineStr">
        <is>
          <t>EM ANDAMENTO</t>
        </is>
      </c>
      <c r="C19" s="130" t="n">
        <v>13</v>
      </c>
    </row>
    <row r="20">
      <c r="A20" s="130" t="inlineStr">
        <is>
          <t>OKR3</t>
        </is>
      </c>
      <c r="B20" s="130" t="inlineStr">
        <is>
          <t>PENDENTE</t>
        </is>
      </c>
      <c r="C20" s="130" t="n">
        <v>1</v>
      </c>
    </row>
    <row r="21">
      <c r="A21" s="130" t="inlineStr">
        <is>
          <t>OKR4</t>
        </is>
      </c>
      <c r="B21" s="130" t="inlineStr">
        <is>
          <t>EM ANDAMENTO</t>
        </is>
      </c>
      <c r="C21" s="130" t="n">
        <v>10</v>
      </c>
    </row>
    <row r="22">
      <c r="A22" s="130" t="inlineStr">
        <is>
          <t>OKR4</t>
        </is>
      </c>
      <c r="B22" s="130" t="inlineStr">
        <is>
          <t>PENDENTE</t>
        </is>
      </c>
      <c r="C22" s="130" t="n">
        <v>2</v>
      </c>
    </row>
    <row r="23">
      <c r="A23" s="130" t="inlineStr">
        <is>
          <t>OKR5</t>
        </is>
      </c>
      <c r="B23" s="130" t="inlineStr">
        <is>
          <t>EM ANDAMENTO</t>
        </is>
      </c>
      <c r="C23" s="130" t="n">
        <v>11</v>
      </c>
    </row>
    <row r="24">
      <c r="A24" s="130" t="inlineStr">
        <is>
          <t>OKR5</t>
        </is>
      </c>
      <c r="B24" s="130" t="inlineStr">
        <is>
          <t>PENDENTE</t>
        </is>
      </c>
      <c r="C24" s="130" t="n">
        <v>1</v>
      </c>
    </row>
    <row r="27">
      <c r="A27" s="132" t="inlineStr">
        <is>
          <t>Ações por Eixo (Planilha) e OKR</t>
        </is>
      </c>
    </row>
    <row r="28">
      <c r="A28" s="129" t="inlineStr">
        <is>
          <t>EIXO</t>
        </is>
      </c>
      <c r="B28" s="129" t="inlineStr">
        <is>
          <t>OKR_ID_SUGERIDA</t>
        </is>
      </c>
      <c r="C28" s="129" t="inlineStr">
        <is>
          <t>N</t>
        </is>
      </c>
    </row>
    <row r="29">
      <c r="A29" s="130" t="inlineStr">
        <is>
          <t>FORMAÇÃO</t>
        </is>
      </c>
      <c r="B29" s="130" t="inlineStr">
        <is>
          <t>OKR2</t>
        </is>
      </c>
      <c r="C29" s="130" t="n">
        <v>12</v>
      </c>
    </row>
    <row r="30">
      <c r="A30" s="130" t="inlineStr">
        <is>
          <t>FORMAÇÃO</t>
        </is>
      </c>
      <c r="B30" s="130" t="inlineStr">
        <is>
          <t>OKR4</t>
        </is>
      </c>
      <c r="C30" s="130" t="n">
        <v>2</v>
      </c>
    </row>
    <row r="31">
      <c r="A31" s="130" t="inlineStr">
        <is>
          <t>IMPACTO</t>
        </is>
      </c>
      <c r="B31" s="130" t="inlineStr">
        <is>
          <t>OKR3</t>
        </is>
      </c>
      <c r="C31" s="130" t="n">
        <v>20</v>
      </c>
    </row>
    <row r="32">
      <c r="A32" s="130" t="inlineStr">
        <is>
          <t>IMPACTO</t>
        </is>
      </c>
      <c r="B32" s="130" t="inlineStr">
        <is>
          <t>OKR4</t>
        </is>
      </c>
      <c r="C32" s="130" t="n">
        <v>9</v>
      </c>
    </row>
    <row r="33">
      <c r="A33" s="130" t="inlineStr">
        <is>
          <t>IMPACTO</t>
        </is>
      </c>
      <c r="B33" s="130" t="inlineStr">
        <is>
          <t>OKR5</t>
        </is>
      </c>
      <c r="C33" s="130" t="n">
        <v>9</v>
      </c>
    </row>
    <row r="34">
      <c r="A34" s="130" t="inlineStr">
        <is>
          <t>PROGRAMA</t>
        </is>
      </c>
      <c r="B34" s="130" t="inlineStr">
        <is>
          <t>OKR2</t>
        </is>
      </c>
      <c r="C34" s="130" t="n">
        <v>13</v>
      </c>
    </row>
    <row r="35">
      <c r="A35" s="130" t="inlineStr">
        <is>
          <t>PROGRAMA</t>
        </is>
      </c>
      <c r="B35" s="130" t="inlineStr">
        <is>
          <t>OKR1</t>
        </is>
      </c>
      <c r="C35" s="130" t="n">
        <v>9</v>
      </c>
    </row>
    <row r="36">
      <c r="A36" s="130" t="inlineStr">
        <is>
          <t>PROGRAMA</t>
        </is>
      </c>
      <c r="B36" s="130" t="inlineStr">
        <is>
          <t>OKR5</t>
        </is>
      </c>
      <c r="C36" s="130" t="n">
        <v>3</v>
      </c>
    </row>
    <row r="37">
      <c r="A37" s="130" t="inlineStr">
        <is>
          <t>PROGRAMA</t>
        </is>
      </c>
      <c r="B37" s="130" t="inlineStr">
        <is>
          <t>OKR3</t>
        </is>
      </c>
      <c r="C37" s="130" t="n">
        <v>1</v>
      </c>
    </row>
    <row r="38">
      <c r="A38" s="130" t="inlineStr">
        <is>
          <t>PROGRAMA</t>
        </is>
      </c>
      <c r="B38" s="130" t="inlineStr">
        <is>
          <t>OKR4</t>
        </is>
      </c>
      <c r="C38" s="1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60" customWidth="1" style="108" min="3" max="3"/>
    <col width="60" customWidth="1" style="108" min="4" max="4"/>
    <col width="53" customWidth="1" style="108" min="5" max="5"/>
    <col width="10" customWidth="1" style="108" min="6" max="6"/>
    <col width="10" customWidth="1" style="108" min="7" max="7"/>
    <col width="10" customWidth="1" style="108" min="8" max="8"/>
    <col width="10" customWidth="1" style="108" min="9" max="9"/>
    <col width="12" customWidth="1" style="108" min="10" max="10"/>
    <col width="10" customWidth="1" style="108" min="11" max="11"/>
    <col width="10" customWidth="1" style="108" min="12" max="12"/>
    <col width="10" customWidth="1" style="108" min="13" max="13"/>
    <col width="10" customWidth="1" style="108" min="14" max="14"/>
    <col width="10" customWidth="1" style="108" min="15" max="15"/>
    <col width="10" customWidth="1" style="108" min="16" max="16"/>
    <col width="60" customWidth="1" style="108" min="17" max="17"/>
    <col width="38" customWidth="1" style="108" min="18" max="18"/>
    <col width="10" customWidth="1" style="108" min="19" max="19"/>
    <col width="14" customWidth="1" style="108" min="20" max="20"/>
  </cols>
  <sheetData>
    <row r="1">
      <c r="A1" s="129" t="inlineStr">
        <is>
          <t>ID</t>
        </is>
      </c>
      <c r="B1" s="129" t="inlineStr">
        <is>
          <t>EIXO</t>
        </is>
      </c>
      <c r="C1" s="129" t="inlineStr">
        <is>
          <t>O QUÊ?</t>
        </is>
      </c>
      <c r="D1" s="129" t="inlineStr">
        <is>
          <t>POR QUE?</t>
        </is>
      </c>
      <c r="E1" s="129" t="inlineStr">
        <is>
          <t>QUEM?</t>
        </is>
      </c>
      <c r="F1" s="129" t="inlineStr">
        <is>
          <t>ONDE?</t>
        </is>
      </c>
      <c r="G1" s="129" t="inlineStr">
        <is>
          <t>QUANDO?</t>
        </is>
      </c>
      <c r="H1" s="129" t="inlineStr">
        <is>
          <t>COMO?</t>
        </is>
      </c>
      <c r="I1" s="129" t="inlineStr">
        <is>
          <t>QUANTO?</t>
        </is>
      </c>
      <c r="J1" s="129" t="inlineStr">
        <is>
          <t>STATUS</t>
        </is>
      </c>
      <c r="K1" s="129" t="inlineStr">
        <is>
          <t>OBSERVAÇÕES</t>
        </is>
      </c>
      <c r="L1" s="129" t="inlineStr">
        <is>
          <t>OKR_ID_SUGERIDA</t>
        </is>
      </c>
      <c r="M1" s="129" t="inlineStr">
        <is>
          <t>OKR_ID_FINAL</t>
        </is>
      </c>
      <c r="N1" s="129" t="inlineStr">
        <is>
          <t>OKR_USED</t>
        </is>
      </c>
      <c r="O1" s="129" t="inlineStr">
        <is>
          <t>KR_ID_SUGERIDA</t>
        </is>
      </c>
      <c r="P1" s="129" t="inlineStr">
        <is>
          <t>KR_ID_FINAL</t>
        </is>
      </c>
      <c r="Q1" s="129" t="inlineStr">
        <is>
          <t>KR_RESULTADO_CHAVE</t>
        </is>
      </c>
      <c r="R1" s="129" t="inlineStr">
        <is>
          <t>KR_META_2028</t>
        </is>
      </c>
      <c r="S1" s="129" t="inlineStr">
        <is>
          <t>KR_FREQUENCIA</t>
        </is>
      </c>
      <c r="T1" s="129" t="inlineStr">
        <is>
          <t>KR_ID_USADA</t>
        </is>
      </c>
    </row>
    <row r="2">
      <c r="A2" s="130" t="n">
        <v>1</v>
      </c>
      <c r="B2" s="130" t="inlineStr">
        <is>
          <t>PROGRAMA</t>
        </is>
      </c>
      <c r="C2" s="130" t="inlineStr">
        <is>
          <t>Revisão e atualização do Manual do Aluno</t>
        </is>
      </c>
      <c r="D2" s="130" t="inlineStr">
        <is>
          <t>Uniformizar trabalhos, melhorar a qualidade e garantir alinhamento com os objetivos do programa</t>
        </is>
      </c>
      <c r="E2" s="130" t="inlineStr">
        <is>
          <t>Comissão de Acompanhamento Discente</t>
        </is>
      </c>
      <c r="F2" s="130" t="n">
        <v/>
      </c>
      <c r="G2" s="130" t="n">
        <v/>
      </c>
      <c r="H2" s="130" t="n">
        <v/>
      </c>
      <c r="I2" s="130" t="n">
        <v/>
      </c>
      <c r="J2" s="130" t="inlineStr">
        <is>
          <t>EM ANDAMENTO</t>
        </is>
      </c>
      <c r="K2" s="130" t="n">
        <v/>
      </c>
      <c r="L2" s="130" t="inlineStr">
        <is>
          <t>OKR2</t>
        </is>
      </c>
      <c r="M2" s="130" t="n">
        <v/>
      </c>
      <c r="N2" s="130" t="inlineStr">
        <is>
          <t>OKR2</t>
        </is>
      </c>
      <c r="O2" s="130" t="inlineStr">
        <is>
          <t>OKR2.KR2</t>
        </is>
      </c>
      <c r="P2" s="130" t="inlineStr"/>
      <c r="Q2" s="130" t="inlineStr">
        <is>
          <t>Elevar % de discentes/egressos com produção em estratos superiores (top 2 e top 4) conforme ficha CAPES.</t>
        </is>
      </c>
      <c r="R2" s="130" t="inlineStr">
        <is>
          <t>≥60% (top 2) e ≥80% (top 4)</t>
        </is>
      </c>
      <c r="S2" s="130" t="inlineStr">
        <is>
          <t>Semestral</t>
        </is>
      </c>
      <c r="T2" s="130">
        <f>IF(P2&lt;&gt;"",P2,O2)</f>
        <v/>
      </c>
    </row>
    <row r="3">
      <c r="A3" s="130" t="n">
        <v>2</v>
      </c>
      <c r="B3" s="130" t="inlineStr">
        <is>
          <t>PROGRAMA</t>
        </is>
      </c>
      <c r="C3" s="130" t="inlineStr">
        <is>
          <t xml:space="preserve">Listar as expertises de cada Laboratório vinculado ao Programa e o suporte que pode ser ofertado  </t>
        </is>
      </c>
      <c r="D3" s="130" t="inlineStr">
        <is>
          <t>Dar visibilidade à infraestrutura oferecida pelo programa e disponibilizar seu uso para os projetos, alunos e docentes do programa</t>
        </is>
      </c>
      <c r="E3" s="130" t="inlineStr">
        <is>
          <t>Comissão de Credenciamento e Acompanhamento Docente</t>
        </is>
      </c>
      <c r="F3" s="130" t="n">
        <v/>
      </c>
      <c r="G3" s="130" t="n">
        <v/>
      </c>
      <c r="H3" s="130" t="n">
        <v/>
      </c>
      <c r="I3" s="130" t="n">
        <v/>
      </c>
      <c r="J3" s="130" t="inlineStr">
        <is>
          <t>EM ANDAMENTO</t>
        </is>
      </c>
      <c r="K3" s="130" t="n">
        <v/>
      </c>
      <c r="L3" s="130" t="inlineStr">
        <is>
          <t>OKR2</t>
        </is>
      </c>
      <c r="M3" s="130" t="n">
        <v/>
      </c>
      <c r="N3" s="130" t="inlineStr">
        <is>
          <t>OKR2</t>
        </is>
      </c>
      <c r="O3" s="130" t="inlineStr">
        <is>
          <t>OKR2.KR2</t>
        </is>
      </c>
      <c r="P3" s="130" t="inlineStr"/>
      <c r="Q3" s="130" t="inlineStr">
        <is>
          <t>Elevar % de discentes/egressos com produção em estratos superiores (top 2 e top 4) conforme ficha CAPES.</t>
        </is>
      </c>
      <c r="R3" s="130" t="inlineStr">
        <is>
          <t>≥60% (top 2) e ≥80% (top 4)</t>
        </is>
      </c>
      <c r="S3" s="130" t="inlineStr">
        <is>
          <t>Semestral</t>
        </is>
      </c>
      <c r="T3" s="130">
        <f>IF(P3&lt;&gt;"",P3,O3)</f>
        <v/>
      </c>
    </row>
    <row r="4">
      <c r="A4" s="130" t="n">
        <v>3</v>
      </c>
      <c r="B4" s="130" t="inlineStr">
        <is>
          <t>PROGRAMA</t>
        </is>
      </c>
      <c r="C4" s="130" t="inlineStr">
        <is>
          <t>Identificar e divulgar editais de fomento à infraestrutura</t>
        </is>
      </c>
      <c r="D4" s="130" t="inlineStr">
        <is>
          <t>Assegurar infraestrutura adequada para realização das atividades</t>
        </is>
      </c>
      <c r="E4" s="130" t="inlineStr">
        <is>
          <t>Coordenação MPEA</t>
        </is>
      </c>
      <c r="F4" s="130" t="n">
        <v/>
      </c>
      <c r="G4" s="130" t="n">
        <v/>
      </c>
      <c r="H4" s="130" t="n">
        <v/>
      </c>
      <c r="I4" s="130" t="n">
        <v/>
      </c>
      <c r="J4" s="130" t="inlineStr">
        <is>
          <t>EM ANDAMENTO</t>
        </is>
      </c>
      <c r="K4" s="130" t="n">
        <v/>
      </c>
      <c r="L4" s="130" t="inlineStr">
        <is>
          <t>OKR5</t>
        </is>
      </c>
      <c r="M4" s="130" t="n">
        <v/>
      </c>
      <c r="N4" s="130" t="inlineStr">
        <is>
          <t>OKR5</t>
        </is>
      </c>
      <c r="O4" s="130" t="inlineStr">
        <is>
          <t>OKR5.KR1</t>
        </is>
      </c>
      <c r="P4" s="130" t="inlineStr"/>
      <c r="Q4" s="130" t="inlineStr">
        <is>
          <t>Garantir que ≥60% do DP realize ≥3 ações de inserção regional/nacional no quadriênio.</t>
        </is>
      </c>
      <c r="R4" s="130" t="inlineStr">
        <is>
          <t>≥60% DP</t>
        </is>
      </c>
      <c r="S4" s="130" t="inlineStr">
        <is>
          <t>Anual</t>
        </is>
      </c>
      <c r="T4" s="130">
        <f>IF(P4&lt;&gt;"",P4,O4)</f>
        <v/>
      </c>
    </row>
    <row r="5">
      <c r="A5" s="130" t="n">
        <v>4</v>
      </c>
      <c r="B5" s="130" t="inlineStr">
        <is>
          <t>PROGRAMA</t>
        </is>
      </c>
      <c r="C5" s="130" t="inlineStr">
        <is>
          <t>Submeter projetos para editais de infraestrutura</t>
        </is>
      </c>
      <c r="D5" s="130" t="n">
        <v/>
      </c>
      <c r="E5" s="130" t="inlineStr">
        <is>
          <t>Coordenação MPEA</t>
        </is>
      </c>
      <c r="F5" s="130" t="n">
        <v/>
      </c>
      <c r="G5" s="130" t="n">
        <v/>
      </c>
      <c r="H5" s="130" t="n">
        <v/>
      </c>
      <c r="I5" s="130" t="n">
        <v/>
      </c>
      <c r="J5" s="130" t="inlineStr">
        <is>
          <t>EM ANDAMENTO</t>
        </is>
      </c>
      <c r="K5" s="130" t="n">
        <v/>
      </c>
      <c r="L5" s="130" t="inlineStr">
        <is>
          <t>OKR1</t>
        </is>
      </c>
      <c r="M5" s="130" t="n">
        <v/>
      </c>
      <c r="N5" s="130" t="inlineStr">
        <is>
          <t>OKR1</t>
        </is>
      </c>
      <c r="O5" s="130" t="inlineStr">
        <is>
          <t>OKR1.KR3</t>
        </is>
      </c>
      <c r="P5" s="130" t="inlineStr"/>
      <c r="Q5" s="130" t="inlineStr">
        <is>
          <t>Aumentar proporção de DP com PP financiado (editais) e/ou DP bolsistas (PQ/DT) em relação à linha de base.</t>
        </is>
      </c>
      <c r="R5" s="130" t="inlineStr">
        <is>
          <t>+X p.p. vs. baseline</t>
        </is>
      </c>
      <c r="S5" s="130" t="inlineStr">
        <is>
          <t>Anual</t>
        </is>
      </c>
      <c r="T5" s="130">
        <f>IF(P5&lt;&gt;"",P5,O5)</f>
        <v/>
      </c>
    </row>
    <row r="6">
      <c r="A6" s="130" t="n">
        <v>5</v>
      </c>
      <c r="B6" s="130" t="inlineStr">
        <is>
          <t>PROGRAMA</t>
        </is>
      </c>
      <c r="C6" s="130" t="inlineStr">
        <is>
          <t xml:space="preserve">Listar os docentes contemplados em editais </t>
        </is>
      </c>
      <c r="D6" s="130" t="inlineStr">
        <is>
          <t>Assegurar infraestrutura adequada para realização das atividades</t>
        </is>
      </c>
      <c r="E6" s="130" t="inlineStr">
        <is>
          <t>Comissão de Credenciamento e Acompanhamento Docente</t>
        </is>
      </c>
      <c r="F6" s="130" t="n">
        <v/>
      </c>
      <c r="G6" s="130" t="n">
        <v/>
      </c>
      <c r="H6" s="130" t="n">
        <v/>
      </c>
      <c r="I6" s="130" t="n">
        <v/>
      </c>
      <c r="J6" s="130" t="inlineStr">
        <is>
          <t>EM ANDAMENTO</t>
        </is>
      </c>
      <c r="K6" s="130" t="n">
        <v/>
      </c>
      <c r="L6" s="130" t="inlineStr">
        <is>
          <t>OKR1</t>
        </is>
      </c>
      <c r="M6" s="130" t="n">
        <v/>
      </c>
      <c r="N6" s="130" t="inlineStr">
        <is>
          <t>OKR1</t>
        </is>
      </c>
      <c r="O6" s="130" t="inlineStr">
        <is>
          <t>OKR1.KR3</t>
        </is>
      </c>
      <c r="P6" s="130" t="inlineStr"/>
      <c r="Q6" s="130" t="inlineStr">
        <is>
          <t>Aumentar proporção de DP com PP financiado (editais) e/ou DP bolsistas (PQ/DT) em relação à linha de base.</t>
        </is>
      </c>
      <c r="R6" s="130" t="inlineStr">
        <is>
          <t>+X p.p. vs. baseline</t>
        </is>
      </c>
      <c r="S6" s="130" t="inlineStr">
        <is>
          <t>Anual</t>
        </is>
      </c>
      <c r="T6" s="130">
        <f>IF(P6&lt;&gt;"",P6,O6)</f>
        <v/>
      </c>
    </row>
    <row r="7">
      <c r="A7" s="130" t="n">
        <v>6</v>
      </c>
      <c r="B7" s="130" t="inlineStr">
        <is>
          <t>PROGRAMA</t>
        </is>
      </c>
      <c r="C7" s="130" t="inlineStr">
        <is>
          <t>Manter critérios mínimos de engajamento e permanência docente, além dos critérios estabelecidos pela CAPES (publicação)</t>
        </is>
      </c>
      <c r="D7" s="130" t="inlineStr">
        <is>
          <t>Estimular a participação do docente em todas as atividades do programa</t>
        </is>
      </c>
      <c r="E7" s="130" t="inlineStr">
        <is>
          <t>Comissão de Credenciamento e Acompanhamento Docente</t>
        </is>
      </c>
      <c r="F7" s="130" t="n">
        <v/>
      </c>
      <c r="G7" s="130" t="n">
        <v/>
      </c>
      <c r="H7" s="130" t="n">
        <v/>
      </c>
      <c r="I7" s="130" t="n">
        <v/>
      </c>
      <c r="J7" s="130" t="inlineStr">
        <is>
          <t>EM ANDAMENTO</t>
        </is>
      </c>
      <c r="K7" s="130" t="n">
        <v/>
      </c>
      <c r="L7" s="130" t="inlineStr">
        <is>
          <t>OKR1</t>
        </is>
      </c>
      <c r="M7" s="130" t="n">
        <v/>
      </c>
      <c r="N7" s="130" t="inlineStr">
        <is>
          <t>OKR1</t>
        </is>
      </c>
      <c r="O7" s="130" t="inlineStr">
        <is>
          <t>OKR1.KR1</t>
        </is>
      </c>
      <c r="P7" s="130" t="inlineStr"/>
      <c r="Q7" s="130" t="inlineStr">
        <is>
          <t>Revisar e alinhar 100% das LP/LACT e estrutura curricular à missão, demandas do SUS/ODS e Documento de Área.</t>
        </is>
      </c>
      <c r="R7" s="130" t="inlineStr">
        <is>
          <t>100% alinhado</t>
        </is>
      </c>
      <c r="S7" s="130" t="inlineStr">
        <is>
          <t>Anual</t>
        </is>
      </c>
      <c r="T7" s="130">
        <f>IF(P7&lt;&gt;"",P7,O7)</f>
        <v/>
      </c>
    </row>
    <row r="8">
      <c r="A8" s="130" t="n">
        <v>7</v>
      </c>
      <c r="B8" s="130" t="inlineStr">
        <is>
          <t>PROGRAMA</t>
        </is>
      </c>
      <c r="C8" s="130" t="inlineStr">
        <is>
          <t>Atualizar e monitorar o planejamento estratégico</t>
        </is>
      </c>
      <c r="D8" s="130" t="inlineStr">
        <is>
          <t>Melhorar o andamento do programa</t>
        </is>
      </c>
      <c r="E8" s="130" t="inlineStr">
        <is>
          <t>Comissão de Monitoramento do Planejamento Estratégico</t>
        </is>
      </c>
      <c r="F8" s="130" t="n">
        <v/>
      </c>
      <c r="G8" s="130" t="n">
        <v/>
      </c>
      <c r="H8" s="130" t="n">
        <v/>
      </c>
      <c r="I8" s="130" t="n">
        <v/>
      </c>
      <c r="J8" s="130" t="inlineStr">
        <is>
          <t>EM ANDAMENTO</t>
        </is>
      </c>
      <c r="K8" s="130" t="n">
        <v/>
      </c>
      <c r="L8" s="130" t="inlineStr">
        <is>
          <t>OKR1</t>
        </is>
      </c>
      <c r="M8" s="130" t="n">
        <v/>
      </c>
      <c r="N8" s="130" t="inlineStr">
        <is>
          <t>OKR1</t>
        </is>
      </c>
      <c r="O8" s="130" t="inlineStr">
        <is>
          <t>OKR1.KR1</t>
        </is>
      </c>
      <c r="P8" s="130" t="inlineStr"/>
      <c r="Q8" s="130" t="inlineStr">
        <is>
          <t>Revisar e alinhar 100% das LP/LACT e estrutura curricular à missão, demandas do SUS/ODS e Documento de Área.</t>
        </is>
      </c>
      <c r="R8" s="130" t="inlineStr">
        <is>
          <t>100% alinhado</t>
        </is>
      </c>
      <c r="S8" s="130" t="inlineStr">
        <is>
          <t>Anual</t>
        </is>
      </c>
      <c r="T8" s="130">
        <f>IF(P8&lt;&gt;"",P8,O8)</f>
        <v/>
      </c>
    </row>
    <row r="9">
      <c r="A9" s="130" t="n">
        <v>8</v>
      </c>
      <c r="B9" s="130" t="inlineStr">
        <is>
          <t>PROGRAMA</t>
        </is>
      </c>
      <c r="C9" s="130" t="inlineStr">
        <is>
          <t>Apresentar a evolução do planejamento estratégico do MPEA a cada semestre</t>
        </is>
      </c>
      <c r="D9" s="130" t="inlineStr">
        <is>
          <t>Disseminar  as ações do programa</t>
        </is>
      </c>
      <c r="E9" s="130" t="inlineStr">
        <is>
          <t>Comissão de Monitoramento do Planejamento Estratégico</t>
        </is>
      </c>
      <c r="F9" s="130" t="n">
        <v/>
      </c>
      <c r="G9" s="130" t="n">
        <v/>
      </c>
      <c r="H9" s="130" t="n">
        <v/>
      </c>
      <c r="I9" s="130" t="n">
        <v/>
      </c>
      <c r="J9" s="130" t="inlineStr">
        <is>
          <t>EM ANDAMENTO</t>
        </is>
      </c>
      <c r="K9" s="130" t="n">
        <v/>
      </c>
      <c r="L9" s="130" t="inlineStr">
        <is>
          <t>OKR5</t>
        </is>
      </c>
      <c r="M9" s="130" t="n">
        <v/>
      </c>
      <c r="N9" s="130" t="inlineStr">
        <is>
          <t>OKR5</t>
        </is>
      </c>
      <c r="O9" s="130" t="inlineStr">
        <is>
          <t>OKR5.KR1</t>
        </is>
      </c>
      <c r="P9" s="130" t="inlineStr"/>
      <c r="Q9" s="130" t="inlineStr">
        <is>
          <t>Garantir que ≥60% do DP realize ≥3 ações de inserção regional/nacional no quadriênio.</t>
        </is>
      </c>
      <c r="R9" s="130" t="inlineStr">
        <is>
          <t>≥60% DP</t>
        </is>
      </c>
      <c r="S9" s="130" t="inlineStr">
        <is>
          <t>Anual</t>
        </is>
      </c>
      <c r="T9" s="130">
        <f>IF(P9&lt;&gt;"",P9,O9)</f>
        <v/>
      </c>
    </row>
    <row r="10">
      <c r="A10" s="130" t="n">
        <v>9</v>
      </c>
      <c r="B10" s="130" t="inlineStr">
        <is>
          <t>PROGRAMA</t>
        </is>
      </c>
      <c r="C10" s="130" t="inlineStr">
        <is>
          <t>Aprovação do Doutorado Profissional</t>
        </is>
      </c>
      <c r="D10" s="130" t="inlineStr">
        <is>
          <t>Doutorado Profissional</t>
        </is>
      </c>
      <c r="E10" s="130" t="inlineStr">
        <is>
          <t>Coordenação do MPEA</t>
        </is>
      </c>
      <c r="F10" s="130" t="n">
        <v/>
      </c>
      <c r="G10" s="130" t="n">
        <v/>
      </c>
      <c r="H10" s="130" t="n">
        <v/>
      </c>
      <c r="I10" s="130" t="n">
        <v/>
      </c>
      <c r="J10" s="130" t="inlineStr">
        <is>
          <t>PENDENTE</t>
        </is>
      </c>
      <c r="K10" s="130" t="n">
        <v/>
      </c>
      <c r="L10" s="130" t="inlineStr">
        <is>
          <t>OKR1</t>
        </is>
      </c>
      <c r="M10" s="130" t="n">
        <v/>
      </c>
      <c r="N10" s="130" t="inlineStr">
        <is>
          <t>OKR1</t>
        </is>
      </c>
      <c r="O10" s="130" t="inlineStr">
        <is>
          <t>OKR1.KR1</t>
        </is>
      </c>
      <c r="P10" s="130" t="inlineStr"/>
      <c r="Q10" s="130" t="inlineStr">
        <is>
          <t>Revisar e alinhar 100% das LP/LACT e estrutura curricular à missão, demandas do SUS/ODS e Documento de Área.</t>
        </is>
      </c>
      <c r="R10" s="130" t="inlineStr">
        <is>
          <t>100% alinhado</t>
        </is>
      </c>
      <c r="S10" s="130" t="inlineStr">
        <is>
          <t>Anual</t>
        </is>
      </c>
      <c r="T10" s="130">
        <f>IF(P10&lt;&gt;"",P10,O10)</f>
        <v/>
      </c>
    </row>
    <row r="11">
      <c r="A11" s="130" t="n">
        <v>10</v>
      </c>
      <c r="B11" s="130" t="inlineStr">
        <is>
          <t>PROGRAMA</t>
        </is>
      </c>
      <c r="C11" s="130" t="inlineStr">
        <is>
          <t>Estabelecer critérios para seleção de campos de prática e preceptores</t>
        </is>
      </c>
      <c r="D11" s="130" t="n">
        <v/>
      </c>
      <c r="E11" s="130" t="inlineStr">
        <is>
          <t>Coordenação do MPEA</t>
        </is>
      </c>
      <c r="F11" s="130" t="n">
        <v/>
      </c>
      <c r="G11" s="130" t="n">
        <v/>
      </c>
      <c r="H11" s="130" t="n">
        <v/>
      </c>
      <c r="I11" s="130" t="n">
        <v/>
      </c>
      <c r="J11" s="130" t="inlineStr">
        <is>
          <t>PENDENTE</t>
        </is>
      </c>
      <c r="K11" s="130" t="n">
        <v/>
      </c>
      <c r="L11" s="130" t="inlineStr">
        <is>
          <t>OKR2</t>
        </is>
      </c>
      <c r="M11" s="130" t="n">
        <v/>
      </c>
      <c r="N11" s="130" t="inlineStr">
        <is>
          <t>OKR2</t>
        </is>
      </c>
      <c r="O11" s="130" t="inlineStr">
        <is>
          <t>OKR2.KR1</t>
        </is>
      </c>
      <c r="P11" s="130" t="inlineStr"/>
      <c r="Q11" s="130" t="inlineStr">
        <is>
          <t>Atingir proporção de produção docente nos estratos superiores (A1+A2) compatível com padrão nota 6.</t>
        </is>
      </c>
      <c r="R11" s="130" t="inlineStr">
        <is>
          <t>≥50% A1+A2</t>
        </is>
      </c>
      <c r="S11" s="130" t="inlineStr">
        <is>
          <t>Trimestral</t>
        </is>
      </c>
      <c r="T11" s="130">
        <f>IF(P11&lt;&gt;"",P11,O11)</f>
        <v/>
      </c>
    </row>
    <row r="12">
      <c r="A12" s="130" t="n">
        <v>11</v>
      </c>
      <c r="B12" s="130" t="inlineStr">
        <is>
          <t>PROGRAMA</t>
        </is>
      </c>
      <c r="C12" s="130" t="inlineStr">
        <is>
          <t>Elencar os egressos do doutorado acadêmico para selecionar possíveis preceptores</t>
        </is>
      </c>
      <c r="D12" s="130" t="n">
        <v/>
      </c>
      <c r="E12" s="130" t="inlineStr">
        <is>
          <t>Coordenação do MPEA</t>
        </is>
      </c>
      <c r="F12" s="130" t="n">
        <v/>
      </c>
      <c r="G12" s="130" t="n">
        <v/>
      </c>
      <c r="H12" s="130" t="n">
        <v/>
      </c>
      <c r="I12" s="130" t="n">
        <v/>
      </c>
      <c r="J12" s="130" t="inlineStr">
        <is>
          <t>PENDENTE</t>
        </is>
      </c>
      <c r="K12" s="130" t="n">
        <v/>
      </c>
      <c r="L12" s="130" t="inlineStr">
        <is>
          <t>OKR2</t>
        </is>
      </c>
      <c r="M12" s="130" t="n">
        <v/>
      </c>
      <c r="N12" s="130" t="inlineStr">
        <is>
          <t>OKR2</t>
        </is>
      </c>
      <c r="O12" s="130" t="inlineStr">
        <is>
          <t>OKR2.KR2</t>
        </is>
      </c>
      <c r="P12" s="130" t="inlineStr"/>
      <c r="Q12" s="130" t="inlineStr">
        <is>
          <t>Elevar % de discentes/egressos com produção em estratos superiores (top 2 e top 4) conforme ficha CAPES.</t>
        </is>
      </c>
      <c r="R12" s="130" t="inlineStr">
        <is>
          <t>≥60% (top 2) e ≥80% (top 4)</t>
        </is>
      </c>
      <c r="S12" s="130" t="inlineStr">
        <is>
          <t>Semestral</t>
        </is>
      </c>
      <c r="T12" s="130">
        <f>IF(P12&lt;&gt;"",P12,O12)</f>
        <v/>
      </c>
    </row>
    <row r="13">
      <c r="A13" s="130" t="n">
        <v>12</v>
      </c>
      <c r="B13" s="130" t="inlineStr">
        <is>
          <t>PROGRAMA</t>
        </is>
      </c>
      <c r="C13" s="130" t="inlineStr">
        <is>
          <t>Captar e estabelecer incentivo para preceptores</t>
        </is>
      </c>
      <c r="D13" s="130" t="n">
        <v/>
      </c>
      <c r="E13" s="130" t="inlineStr">
        <is>
          <t>Coordenação do MPEA</t>
        </is>
      </c>
      <c r="F13" s="130" t="n">
        <v/>
      </c>
      <c r="G13" s="130" t="n">
        <v/>
      </c>
      <c r="H13" s="130" t="n">
        <v/>
      </c>
      <c r="I13" s="130" t="n">
        <v/>
      </c>
      <c r="J13" s="130" t="inlineStr">
        <is>
          <t>PENDENTE</t>
        </is>
      </c>
      <c r="K13" s="130" t="n">
        <v/>
      </c>
      <c r="L13" s="130" t="inlineStr">
        <is>
          <t>OKR1</t>
        </is>
      </c>
      <c r="M13" s="130" t="n">
        <v/>
      </c>
      <c r="N13" s="130" t="inlineStr">
        <is>
          <t>OKR1</t>
        </is>
      </c>
      <c r="O13" s="130" t="inlineStr">
        <is>
          <t>OKR1.KR1</t>
        </is>
      </c>
      <c r="P13" s="130" t="inlineStr"/>
      <c r="Q13" s="130" t="inlineStr">
        <is>
          <t>Revisar e alinhar 100% das LP/LACT e estrutura curricular à missão, demandas do SUS/ODS e Documento de Área.</t>
        </is>
      </c>
      <c r="R13" s="130" t="inlineStr">
        <is>
          <t>100% alinhado</t>
        </is>
      </c>
      <c r="S13" s="130" t="inlineStr">
        <is>
          <t>Anual</t>
        </is>
      </c>
      <c r="T13" s="130">
        <f>IF(P13&lt;&gt;"",P13,O13)</f>
        <v/>
      </c>
    </row>
    <row r="14">
      <c r="A14" s="130" t="n">
        <v>13</v>
      </c>
      <c r="B14" s="130" t="inlineStr">
        <is>
          <t>PROGRAMA</t>
        </is>
      </c>
      <c r="C14" s="130" t="inlineStr">
        <is>
          <t>Estreitar parcerias com gestores de instituições públicas e privadas</t>
        </is>
      </c>
      <c r="D14" s="130" t="n">
        <v/>
      </c>
      <c r="E14" s="130" t="inlineStr">
        <is>
          <t>Coordenação do MPEA</t>
        </is>
      </c>
      <c r="F14" s="130" t="n">
        <v/>
      </c>
      <c r="G14" s="130" t="n">
        <v/>
      </c>
      <c r="H14" s="130" t="n">
        <v/>
      </c>
      <c r="I14" s="130" t="n">
        <v/>
      </c>
      <c r="J14" s="130" t="inlineStr">
        <is>
          <t>EM ANDAMENTO</t>
        </is>
      </c>
      <c r="K14" s="130" t="n">
        <v/>
      </c>
      <c r="L14" s="130" t="inlineStr">
        <is>
          <t>OKR3</t>
        </is>
      </c>
      <c r="M14" s="130" t="n">
        <v/>
      </c>
      <c r="N14" s="130" t="inlineStr">
        <is>
          <t>OKR3</t>
        </is>
      </c>
      <c r="O14" s="130" t="inlineStr">
        <is>
          <t>OKR3.KR3</t>
        </is>
      </c>
      <c r="P14" s="130" t="inlineStr"/>
      <c r="Q14" s="130" t="inlineStr">
        <is>
          <t>Firmar parcerias formais com serviços/gestores para implementação e avaliação de produtos/processos.</t>
        </is>
      </c>
      <c r="R14" s="130" t="inlineStr">
        <is>
          <t>≥6 acordos/convênios</t>
        </is>
      </c>
      <c r="S14" s="130" t="inlineStr">
        <is>
          <t>Trimestral</t>
        </is>
      </c>
      <c r="T14" s="130">
        <f>IF(P14&lt;&gt;"",P14,O14)</f>
        <v/>
      </c>
    </row>
    <row r="15">
      <c r="A15" s="130" t="n">
        <v>14</v>
      </c>
      <c r="B15" s="130" t="inlineStr">
        <is>
          <t>PROGRAMA</t>
        </is>
      </c>
      <c r="C15" s="130" t="inlineStr">
        <is>
          <t>Rever a matriz curricular incorporando a prática avançada</t>
        </is>
      </c>
      <c r="D15" s="130" t="n">
        <v/>
      </c>
      <c r="E15" s="130" t="inlineStr">
        <is>
          <t>Coordenação do MPEA</t>
        </is>
      </c>
      <c r="F15" s="130" t="n">
        <v/>
      </c>
      <c r="G15" s="130" t="n">
        <v/>
      </c>
      <c r="H15" s="130" t="n">
        <v/>
      </c>
      <c r="I15" s="130" t="n">
        <v/>
      </c>
      <c r="J15" s="130" t="inlineStr">
        <is>
          <t>PENDENTE</t>
        </is>
      </c>
      <c r="K15" s="130" t="n">
        <v/>
      </c>
      <c r="L15" s="130" t="inlineStr">
        <is>
          <t>OKR2</t>
        </is>
      </c>
      <c r="M15" s="130" t="n">
        <v/>
      </c>
      <c r="N15" s="130" t="inlineStr">
        <is>
          <t>OKR2</t>
        </is>
      </c>
      <c r="O15" s="130" t="inlineStr">
        <is>
          <t>OKR2.KR1</t>
        </is>
      </c>
      <c r="P15" s="130" t="inlineStr"/>
      <c r="Q15" s="130" t="inlineStr">
        <is>
          <t>Atingir proporção de produção docente nos estratos superiores (A1+A2) compatível com padrão nota 6.</t>
        </is>
      </c>
      <c r="R15" s="130" t="inlineStr">
        <is>
          <t>≥50% A1+A2</t>
        </is>
      </c>
      <c r="S15" s="130" t="inlineStr">
        <is>
          <t>Trimestral</t>
        </is>
      </c>
      <c r="T15" s="130">
        <f>IF(P15&lt;&gt;"",P15,O15)</f>
        <v/>
      </c>
    </row>
    <row r="16">
      <c r="A16" s="130" t="n">
        <v>15</v>
      </c>
      <c r="B16" s="130" t="inlineStr">
        <is>
          <t>PROGRAMA</t>
        </is>
      </c>
      <c r="C16" s="130" t="inlineStr">
        <is>
          <t>Implementar estratégias para acompanhamento de egressos (criação de comunidades, descontos em cursos e eventos)</t>
        </is>
      </c>
      <c r="D16" s="130" t="n">
        <v/>
      </c>
      <c r="E16" s="130" t="inlineStr">
        <is>
          <t>Comissão de Acompanhamento de Egressos</t>
        </is>
      </c>
      <c r="F16" s="130" t="n">
        <v/>
      </c>
      <c r="G16" s="130" t="n">
        <v/>
      </c>
      <c r="H16" s="130" t="n">
        <v/>
      </c>
      <c r="I16" s="130" t="n">
        <v/>
      </c>
      <c r="J16" s="130" t="inlineStr">
        <is>
          <t>PENDENTE</t>
        </is>
      </c>
      <c r="K16" s="130" t="n">
        <v/>
      </c>
      <c r="L16" s="130" t="inlineStr">
        <is>
          <t>OKR2</t>
        </is>
      </c>
      <c r="M16" s="130" t="n">
        <v/>
      </c>
      <c r="N16" s="130" t="inlineStr">
        <is>
          <t>OKR2</t>
        </is>
      </c>
      <c r="O16" s="130" t="inlineStr">
        <is>
          <t>OKR2.KR2</t>
        </is>
      </c>
      <c r="P16" s="130" t="inlineStr"/>
      <c r="Q16" s="130" t="inlineStr">
        <is>
          <t>Elevar % de discentes/egressos com produção em estratos superiores (top 2 e top 4) conforme ficha CAPES.</t>
        </is>
      </c>
      <c r="R16" s="130" t="inlineStr">
        <is>
          <t>≥60% (top 2) e ≥80% (top 4)</t>
        </is>
      </c>
      <c r="S16" s="130" t="inlineStr">
        <is>
          <t>Semestral</t>
        </is>
      </c>
      <c r="T16" s="130">
        <f>IF(P16&lt;&gt;"",P16,O16)</f>
        <v/>
      </c>
    </row>
    <row r="17">
      <c r="A17" s="130" t="n">
        <v>16</v>
      </c>
      <c r="B17" s="130" t="inlineStr">
        <is>
          <t>PROGRAMA</t>
        </is>
      </c>
      <c r="C17" s="130" t="inlineStr">
        <is>
          <t>Criação de evento anual para integração de egressos e alunos do Programa</t>
        </is>
      </c>
      <c r="D17" s="130" t="n">
        <v/>
      </c>
      <c r="E17" s="130" t="inlineStr">
        <is>
          <t>Comissão de Acompanhamento de Egressos</t>
        </is>
      </c>
      <c r="F17" s="130" t="n">
        <v/>
      </c>
      <c r="G17" s="130" t="n">
        <v/>
      </c>
      <c r="H17" s="130" t="n">
        <v/>
      </c>
      <c r="I17" s="130" t="n">
        <v/>
      </c>
      <c r="J17" s="130" t="inlineStr">
        <is>
          <t>PENDENTE</t>
        </is>
      </c>
      <c r="K17" s="130" t="n">
        <v/>
      </c>
      <c r="L17" s="130" t="inlineStr">
        <is>
          <t>OKR2</t>
        </is>
      </c>
      <c r="M17" s="130" t="n">
        <v/>
      </c>
      <c r="N17" s="130" t="inlineStr">
        <is>
          <t>OKR2</t>
        </is>
      </c>
      <c r="O17" s="130" t="inlineStr">
        <is>
          <t>OKR2.KR2</t>
        </is>
      </c>
      <c r="P17" s="130" t="inlineStr"/>
      <c r="Q17" s="130" t="inlineStr">
        <is>
          <t>Elevar % de discentes/egressos com produção em estratos superiores (top 2 e top 4) conforme ficha CAPES.</t>
        </is>
      </c>
      <c r="R17" s="130" t="inlineStr">
        <is>
          <t>≥60% (top 2) e ≥80% (top 4)</t>
        </is>
      </c>
      <c r="S17" s="130" t="inlineStr">
        <is>
          <t>Semestral</t>
        </is>
      </c>
      <c r="T17" s="130">
        <f>IF(P17&lt;&gt;"",P17,O17)</f>
        <v/>
      </c>
    </row>
    <row r="18">
      <c r="A18" s="130" t="n">
        <v>17</v>
      </c>
      <c r="B18" s="130" t="inlineStr">
        <is>
          <t>PROGRAMA</t>
        </is>
      </c>
      <c r="C18" s="130" t="inlineStr">
        <is>
          <t>Estabelecer estratégiais para conscientização do discente em relação ao compromisso com o Programa mesmo após a finalização do curso</t>
        </is>
      </c>
      <c r="D18" s="130" t="n">
        <v/>
      </c>
      <c r="E18" s="130" t="inlineStr">
        <is>
          <t>Comissão de Acompanhamento Discente</t>
        </is>
      </c>
      <c r="F18" s="130" t="n">
        <v/>
      </c>
      <c r="G18" s="130" t="n">
        <v/>
      </c>
      <c r="H18" s="130" t="n">
        <v/>
      </c>
      <c r="I18" s="130" t="n">
        <v/>
      </c>
      <c r="J18" s="130" t="inlineStr">
        <is>
          <t>EM ANDAMENTO</t>
        </is>
      </c>
      <c r="K18" s="130" t="n">
        <v/>
      </c>
      <c r="L18" s="130" t="inlineStr">
        <is>
          <t>OKR2</t>
        </is>
      </c>
      <c r="M18" s="130" t="n">
        <v/>
      </c>
      <c r="N18" s="130" t="inlineStr">
        <is>
          <t>OKR2</t>
        </is>
      </c>
      <c r="O18" s="130" t="inlineStr">
        <is>
          <t>OKR2.KR2</t>
        </is>
      </c>
      <c r="P18" s="130" t="inlineStr"/>
      <c r="Q18" s="130" t="inlineStr">
        <is>
          <t>Elevar % de discentes/egressos com produção em estratos superiores (top 2 e top 4) conforme ficha CAPES.</t>
        </is>
      </c>
      <c r="R18" s="130" t="inlineStr">
        <is>
          <t>≥60% (top 2) e ≥80% (top 4)</t>
        </is>
      </c>
      <c r="S18" s="130" t="inlineStr">
        <is>
          <t>Semestral</t>
        </is>
      </c>
      <c r="T18" s="130">
        <f>IF(P18&lt;&gt;"",P18,O18)</f>
        <v/>
      </c>
    </row>
    <row r="19">
      <c r="A19" s="130" t="n">
        <v>18</v>
      </c>
      <c r="B19" s="130" t="inlineStr">
        <is>
          <t>PROGRAMA</t>
        </is>
      </c>
      <c r="C19" s="130" t="inlineStr">
        <is>
          <t xml:space="preserve">Formação de grupos de trabalho para utilização do prédio de medicina </t>
        </is>
      </c>
      <c r="D19" s="130" t="n">
        <v/>
      </c>
      <c r="E19" s="130" t="inlineStr">
        <is>
          <t>Coordenação do MPEA</t>
        </is>
      </c>
      <c r="F19" s="130" t="n">
        <v/>
      </c>
      <c r="G19" s="130" t="n">
        <v/>
      </c>
      <c r="H19" s="130" t="n">
        <v/>
      </c>
      <c r="I19" s="130" t="n">
        <v/>
      </c>
      <c r="J19" s="130" t="inlineStr">
        <is>
          <t>PENDENTE</t>
        </is>
      </c>
      <c r="K19" s="130" t="n">
        <v/>
      </c>
      <c r="L19" s="130" t="inlineStr">
        <is>
          <t>OKR2</t>
        </is>
      </c>
      <c r="M19" s="130" t="n">
        <v/>
      </c>
      <c r="N19" s="130" t="inlineStr">
        <is>
          <t>OKR2</t>
        </is>
      </c>
      <c r="O19" s="130" t="inlineStr">
        <is>
          <t>OKR2.KR1</t>
        </is>
      </c>
      <c r="P19" s="130" t="inlineStr"/>
      <c r="Q19" s="130" t="inlineStr">
        <is>
          <t>Atingir proporção de produção docente nos estratos superiores (A1+A2) compatível com padrão nota 6.</t>
        </is>
      </c>
      <c r="R19" s="130" t="inlineStr">
        <is>
          <t>≥50% A1+A2</t>
        </is>
      </c>
      <c r="S19" s="130" t="inlineStr">
        <is>
          <t>Trimestral</t>
        </is>
      </c>
      <c r="T19" s="130">
        <f>IF(P19&lt;&gt;"",P19,O19)</f>
        <v/>
      </c>
    </row>
    <row r="20">
      <c r="A20" s="130" t="n">
        <v>19</v>
      </c>
      <c r="B20" s="130" t="inlineStr">
        <is>
          <t>PROGRAMA</t>
        </is>
      </c>
      <c r="C20" s="130" t="inlineStr">
        <is>
          <t>Estabelecer parcerias com outras unidades e áreas correlatas (interdisciplinaridade)</t>
        </is>
      </c>
      <c r="D20" s="130" t="n">
        <v/>
      </c>
      <c r="E20" s="130" t="inlineStr">
        <is>
          <t>Coordenação do MPEA</t>
        </is>
      </c>
      <c r="F20" s="130" t="n">
        <v/>
      </c>
      <c r="G20" s="130" t="n">
        <v/>
      </c>
      <c r="H20" s="130" t="n">
        <v/>
      </c>
      <c r="I20" s="130" t="n">
        <v/>
      </c>
      <c r="J20" s="130" t="inlineStr">
        <is>
          <t>EM ANDAMENTO</t>
        </is>
      </c>
      <c r="K20" s="130" t="n">
        <v/>
      </c>
      <c r="L20" s="130" t="inlineStr">
        <is>
          <t>OKR2</t>
        </is>
      </c>
      <c r="M20" s="130" t="n">
        <v/>
      </c>
      <c r="N20" s="130" t="inlineStr">
        <is>
          <t>OKR2</t>
        </is>
      </c>
      <c r="O20" s="130" t="inlineStr">
        <is>
          <t>OKR2.KR1</t>
        </is>
      </c>
      <c r="P20" s="130" t="inlineStr"/>
      <c r="Q20" s="130" t="inlineStr">
        <is>
          <t>Atingir proporção de produção docente nos estratos superiores (A1+A2) compatível com padrão nota 6.</t>
        </is>
      </c>
      <c r="R20" s="130" t="inlineStr">
        <is>
          <t>≥50% A1+A2</t>
        </is>
      </c>
      <c r="S20" s="130" t="inlineStr">
        <is>
          <t>Trimestral</t>
        </is>
      </c>
      <c r="T20" s="130">
        <f>IF(P20&lt;&gt;"",P20,O20)</f>
        <v/>
      </c>
    </row>
    <row r="21">
      <c r="A21" s="130" t="n">
        <v>20</v>
      </c>
      <c r="B21" s="130" t="inlineStr">
        <is>
          <t>PROGRAMA</t>
        </is>
      </c>
      <c r="C21" s="130" t="inlineStr">
        <is>
          <t>Estabelecer maior diálogo com os espaços de construção e implementação de Políticas Públicas</t>
        </is>
      </c>
      <c r="D21" s="130" t="n">
        <v/>
      </c>
      <c r="E21" s="130" t="inlineStr">
        <is>
          <t>Coordenação do MPEA</t>
        </is>
      </c>
      <c r="F21" s="130" t="n">
        <v/>
      </c>
      <c r="G21" s="130" t="n">
        <v/>
      </c>
      <c r="H21" s="130" t="n">
        <v/>
      </c>
      <c r="I21" s="130" t="n">
        <v/>
      </c>
      <c r="J21" s="130" t="inlineStr">
        <is>
          <t>EM ANDAMENTO</t>
        </is>
      </c>
      <c r="K21" s="130" t="n">
        <v/>
      </c>
      <c r="L21" s="130" t="inlineStr">
        <is>
          <t>OKR2</t>
        </is>
      </c>
      <c r="M21" s="130" t="n">
        <v/>
      </c>
      <c r="N21" s="130" t="inlineStr">
        <is>
          <t>OKR2</t>
        </is>
      </c>
      <c r="O21" s="130" t="inlineStr">
        <is>
          <t>OKR2.KR1</t>
        </is>
      </c>
      <c r="P21" s="130" t="inlineStr"/>
      <c r="Q21" s="130" t="inlineStr">
        <is>
          <t>Atingir proporção de produção docente nos estratos superiores (A1+A2) compatível com padrão nota 6.</t>
        </is>
      </c>
      <c r="R21" s="130" t="inlineStr">
        <is>
          <t>≥50% A1+A2</t>
        </is>
      </c>
      <c r="S21" s="130" t="inlineStr">
        <is>
          <t>Trimestral</t>
        </is>
      </c>
      <c r="T21" s="130">
        <f>IF(P21&lt;&gt;"",P21,O21)</f>
        <v/>
      </c>
    </row>
    <row r="22">
      <c r="A22" s="130" t="n">
        <v>21</v>
      </c>
      <c r="B22" s="130" t="inlineStr">
        <is>
          <t>PROGRAMA</t>
        </is>
      </c>
      <c r="C22" s="130" t="inlineStr">
        <is>
          <t>Criação de disciplinas em línguas estrangeiras</t>
        </is>
      </c>
      <c r="D22" s="130" t="n">
        <v/>
      </c>
      <c r="E22" s="130" t="inlineStr">
        <is>
          <t>Coordenação do MPEA</t>
        </is>
      </c>
      <c r="F22" s="130" t="n">
        <v/>
      </c>
      <c r="G22" s="130" t="n">
        <v/>
      </c>
      <c r="H22" s="130" t="n">
        <v/>
      </c>
      <c r="I22" s="130" t="n">
        <v/>
      </c>
      <c r="J22" s="130" t="inlineStr">
        <is>
          <t>PENDENTE</t>
        </is>
      </c>
      <c r="K22" s="130" t="n">
        <v/>
      </c>
      <c r="L22" s="130" t="inlineStr">
        <is>
          <t>OKR4</t>
        </is>
      </c>
      <c r="M22" s="130" t="n">
        <v/>
      </c>
      <c r="N22" s="130" t="inlineStr">
        <is>
          <t>OKR4</t>
        </is>
      </c>
      <c r="O22" s="130" t="inlineStr">
        <is>
          <t>OKR4.KR1</t>
        </is>
      </c>
      <c r="P22" s="130" t="inlineStr"/>
      <c r="Q22" s="130" t="inlineStr">
        <is>
          <t>Garantir que ≥50% do DP realize ≥3 ações internacionais no quadriênio.</t>
        </is>
      </c>
      <c r="R22" s="130" t="inlineStr">
        <is>
          <t>≥50% DP</t>
        </is>
      </c>
      <c r="S22" s="130" t="inlineStr">
        <is>
          <t>Anual</t>
        </is>
      </c>
      <c r="T22" s="130">
        <f>IF(P22&lt;&gt;"",P22,O22)</f>
        <v/>
      </c>
    </row>
    <row r="23">
      <c r="A23" s="130" t="n">
        <v>22</v>
      </c>
      <c r="B23" s="130" t="inlineStr">
        <is>
          <t>PROGRAMA</t>
        </is>
      </c>
      <c r="C23" s="130" t="inlineStr">
        <is>
          <t>Criação de disciplinas com perspectivas interdisciplinares</t>
        </is>
      </c>
      <c r="D23" s="130" t="n">
        <v/>
      </c>
      <c r="E23" s="130" t="inlineStr">
        <is>
          <t>Coordenação do MPEA</t>
        </is>
      </c>
      <c r="F23" s="130" t="n">
        <v/>
      </c>
      <c r="G23" s="130" t="n">
        <v/>
      </c>
      <c r="H23" s="130" t="n">
        <v/>
      </c>
      <c r="I23" s="130" t="n">
        <v/>
      </c>
      <c r="J23" s="130" t="inlineStr">
        <is>
          <t>PENDENTE</t>
        </is>
      </c>
      <c r="K23" s="130" t="n">
        <v/>
      </c>
      <c r="L23" s="130" t="inlineStr">
        <is>
          <t>OKR2</t>
        </is>
      </c>
      <c r="M23" s="130" t="n">
        <v/>
      </c>
      <c r="N23" s="130" t="inlineStr">
        <is>
          <t>OKR2</t>
        </is>
      </c>
      <c r="O23" s="130" t="inlineStr">
        <is>
          <t>OKR2.KR1</t>
        </is>
      </c>
      <c r="P23" s="130" t="inlineStr"/>
      <c r="Q23" s="130" t="inlineStr">
        <is>
          <t>Atingir proporção de produção docente nos estratos superiores (A1+A2) compatível com padrão nota 6.</t>
        </is>
      </c>
      <c r="R23" s="130" t="inlineStr">
        <is>
          <t>≥50% A1+A2</t>
        </is>
      </c>
      <c r="S23" s="130" t="inlineStr">
        <is>
          <t>Trimestral</t>
        </is>
      </c>
      <c r="T23" s="130">
        <f>IF(P23&lt;&gt;"",P23,O23)</f>
        <v/>
      </c>
    </row>
    <row r="24">
      <c r="A24" s="130" t="n">
        <v>23</v>
      </c>
      <c r="B24" s="130" t="inlineStr">
        <is>
          <t>PROGRAMA</t>
        </is>
      </c>
      <c r="C24" s="130" t="inlineStr">
        <is>
          <t>Criação de disciplinas para a prática avançada</t>
        </is>
      </c>
      <c r="D24" s="130" t="n">
        <v/>
      </c>
      <c r="E24" s="130" t="inlineStr">
        <is>
          <t>Comissão Transitória APCN</t>
        </is>
      </c>
      <c r="F24" s="130" t="n">
        <v/>
      </c>
      <c r="G24" s="130" t="n">
        <v/>
      </c>
      <c r="H24" s="130" t="n">
        <v/>
      </c>
      <c r="I24" s="130" t="n">
        <v/>
      </c>
      <c r="J24" s="130" t="inlineStr">
        <is>
          <t>PENDENTE</t>
        </is>
      </c>
      <c r="K24" s="130" t="n">
        <v/>
      </c>
      <c r="L24" s="130" t="inlineStr">
        <is>
          <t>OKR2</t>
        </is>
      </c>
      <c r="M24" s="130" t="n">
        <v/>
      </c>
      <c r="N24" s="130" t="inlineStr">
        <is>
          <t>OKR2</t>
        </is>
      </c>
      <c r="O24" s="130" t="inlineStr">
        <is>
          <t>OKR2.KR1</t>
        </is>
      </c>
      <c r="P24" s="130" t="inlineStr"/>
      <c r="Q24" s="130" t="inlineStr">
        <is>
          <t>Atingir proporção de produção docente nos estratos superiores (A1+A2) compatível com padrão nota 6.</t>
        </is>
      </c>
      <c r="R24" s="130" t="inlineStr">
        <is>
          <t>≥50% A1+A2</t>
        </is>
      </c>
      <c r="S24" s="130" t="inlineStr">
        <is>
          <t>Trimestral</t>
        </is>
      </c>
      <c r="T24" s="130">
        <f>IF(P24&lt;&gt;"",P24,O24)</f>
        <v/>
      </c>
    </row>
    <row r="25">
      <c r="A25" s="130" t="n">
        <v>24</v>
      </c>
      <c r="B25" s="130" t="inlineStr">
        <is>
          <t>PROGRAMA</t>
        </is>
      </c>
      <c r="C25" s="130" t="inlineStr">
        <is>
          <t xml:space="preserve">Melhorar a infraestrutura do Programa (ausência de laboratórios e campos de prática, precariedade dos recursos de informática) </t>
        </is>
      </c>
      <c r="D25" s="130" t="n">
        <v/>
      </c>
      <c r="E25" s="130" t="inlineStr">
        <is>
          <t>Coordenação do MPEA</t>
        </is>
      </c>
      <c r="F25" s="130" t="n">
        <v/>
      </c>
      <c r="G25" s="130" t="n">
        <v/>
      </c>
      <c r="H25" s="130" t="n">
        <v/>
      </c>
      <c r="I25" s="130" t="n">
        <v/>
      </c>
      <c r="J25" s="130" t="inlineStr">
        <is>
          <t>PENDENTE</t>
        </is>
      </c>
      <c r="K25" s="130" t="n">
        <v/>
      </c>
      <c r="L25" s="130" t="inlineStr">
        <is>
          <t>OKR1</t>
        </is>
      </c>
      <c r="M25" s="130" t="n">
        <v/>
      </c>
      <c r="N25" s="130" t="inlineStr">
        <is>
          <t>OKR1</t>
        </is>
      </c>
      <c r="O25" s="130" t="inlineStr">
        <is>
          <t>OKR1.KR3</t>
        </is>
      </c>
      <c r="P25" s="130" t="inlineStr"/>
      <c r="Q25" s="130" t="inlineStr">
        <is>
          <t>Aumentar proporção de DP com PP financiado (editais) e/ou DP bolsistas (PQ/DT) em relação à linha de base.</t>
        </is>
      </c>
      <c r="R25" s="130" t="inlineStr">
        <is>
          <t>+X p.p. vs. baseline</t>
        </is>
      </c>
      <c r="S25" s="130" t="inlineStr">
        <is>
          <t>Anual</t>
        </is>
      </c>
      <c r="T25" s="130">
        <f>IF(P25&lt;&gt;"",P25,O25)</f>
        <v/>
      </c>
    </row>
    <row r="26">
      <c r="A26" s="130" t="n">
        <v>25</v>
      </c>
      <c r="B26" s="130" t="inlineStr">
        <is>
          <t>PROGRAMA</t>
        </is>
      </c>
      <c r="C26" s="130" t="inlineStr">
        <is>
          <t>Credenciar docentes com dedicação exclusiva ao Programa e atuantes na atenção primária</t>
        </is>
      </c>
      <c r="D26" s="130" t="n">
        <v/>
      </c>
      <c r="E26" s="130" t="inlineStr">
        <is>
          <t>Comissão de Credenciamento e Acompanhamento Docente</t>
        </is>
      </c>
      <c r="F26" s="130" t="n">
        <v/>
      </c>
      <c r="G26" s="130" t="n">
        <v/>
      </c>
      <c r="H26" s="130" t="n">
        <v/>
      </c>
      <c r="I26" s="130" t="n">
        <v/>
      </c>
      <c r="J26" s="130" t="inlineStr">
        <is>
          <t>PENDENTE</t>
        </is>
      </c>
      <c r="K26" s="130" t="n">
        <v/>
      </c>
      <c r="L26" s="130" t="inlineStr">
        <is>
          <t>OKR5</t>
        </is>
      </c>
      <c r="M26" s="130" t="n">
        <v/>
      </c>
      <c r="N26" s="130" t="inlineStr">
        <is>
          <t>OKR5</t>
        </is>
      </c>
      <c r="O26" s="130" t="inlineStr">
        <is>
          <t>OKR5.KR1</t>
        </is>
      </c>
      <c r="P26" s="130" t="inlineStr"/>
      <c r="Q26" s="130" t="inlineStr">
        <is>
          <t>Garantir que ≥60% do DP realize ≥3 ações de inserção regional/nacional no quadriênio.</t>
        </is>
      </c>
      <c r="R26" s="130" t="inlineStr">
        <is>
          <t>≥60% DP</t>
        </is>
      </c>
      <c r="S26" s="130" t="inlineStr">
        <is>
          <t>Anual</t>
        </is>
      </c>
      <c r="T26" s="130">
        <f>IF(P26&lt;&gt;"",P26,O26)</f>
        <v/>
      </c>
    </row>
    <row r="27">
      <c r="A27" s="130" t="n">
        <v>26</v>
      </c>
      <c r="B27" s="130" t="inlineStr">
        <is>
          <t>PROGRAMA</t>
        </is>
      </c>
      <c r="C27" s="130" t="inlineStr">
        <is>
          <t xml:space="preserve">Realizar avaliação quantitativa e qualitativa de riscos </t>
        </is>
      </c>
      <c r="D27" s="130" t="n">
        <v/>
      </c>
      <c r="E27" s="130" t="inlineStr">
        <is>
          <t>Comissão de Monitoramento do Planejamento Estratégico</t>
        </is>
      </c>
      <c r="F27" s="130" t="n">
        <v/>
      </c>
      <c r="G27" s="130" t="n">
        <v/>
      </c>
      <c r="H27" s="130" t="n">
        <v/>
      </c>
      <c r="I27" s="130" t="n">
        <v/>
      </c>
      <c r="J27" s="130" t="inlineStr">
        <is>
          <t>PENDENTE</t>
        </is>
      </c>
      <c r="K27" s="130" t="n">
        <v/>
      </c>
      <c r="L27" s="130" t="inlineStr">
        <is>
          <t>OKR1</t>
        </is>
      </c>
      <c r="M27" s="130" t="n">
        <v/>
      </c>
      <c r="N27" s="130" t="inlineStr">
        <is>
          <t>OKR1</t>
        </is>
      </c>
      <c r="O27" s="130" t="inlineStr">
        <is>
          <t>OKR1.KR4</t>
        </is>
      </c>
      <c r="P27" s="130" t="inlineStr"/>
      <c r="Q27" s="130" t="inlineStr">
        <is>
          <t>Executar autoavaliação anual com avaliador externo e plano de ação com evidências.</t>
        </is>
      </c>
      <c r="R27" s="130" t="inlineStr">
        <is>
          <t>1 ciclo/ano</t>
        </is>
      </c>
      <c r="S27" s="130" t="inlineStr">
        <is>
          <t>Anual</t>
        </is>
      </c>
      <c r="T27" s="130">
        <f>IF(P27&lt;&gt;"",P27,O27)</f>
        <v/>
      </c>
    </row>
    <row r="28">
      <c r="A28" s="130" t="n">
        <v>27</v>
      </c>
      <c r="B28" s="130" t="inlineStr">
        <is>
          <t>PROGRAMA</t>
        </is>
      </c>
      <c r="C28" s="130" t="inlineStr">
        <is>
          <t>Identificar as estratégias de ensino com uso de metodologias ativas utilizadas pelo corpo docente do MPEA</t>
        </is>
      </c>
      <c r="D28" s="130" t="inlineStr">
        <is>
          <t>Atender à recomendação de ensino inovador da CAPES</t>
        </is>
      </c>
      <c r="E28" s="130" t="inlineStr">
        <is>
          <t>Comissão de Credenciamento e Acompanhamento Docente</t>
        </is>
      </c>
      <c r="F28" s="130" t="n">
        <v/>
      </c>
      <c r="G28" s="130" t="n">
        <v/>
      </c>
      <c r="H28" s="130" t="n">
        <v/>
      </c>
      <c r="I28" s="130" t="n">
        <v/>
      </c>
      <c r="J28" s="130" t="inlineStr">
        <is>
          <t>EM ANDAMENTO</t>
        </is>
      </c>
      <c r="K28" s="130" t="n">
        <v/>
      </c>
      <c r="L28" s="130" t="inlineStr">
        <is>
          <t>OKR1</t>
        </is>
      </c>
      <c r="M28" s="130" t="n">
        <v/>
      </c>
      <c r="N28" s="130" t="inlineStr">
        <is>
          <t>OKR1</t>
        </is>
      </c>
      <c r="O28" s="130" t="inlineStr">
        <is>
          <t>OKR1.KR1</t>
        </is>
      </c>
      <c r="P28" s="130" t="inlineStr"/>
      <c r="Q28" s="130" t="inlineStr">
        <is>
          <t>Revisar e alinhar 100% das LP/LACT e estrutura curricular à missão, demandas do SUS/ODS e Documento de Área.</t>
        </is>
      </c>
      <c r="R28" s="130" t="inlineStr">
        <is>
          <t>100% alinhado</t>
        </is>
      </c>
      <c r="S28" s="130" t="inlineStr">
        <is>
          <t>Anual</t>
        </is>
      </c>
      <c r="T28" s="130">
        <f>IF(P28&lt;&gt;"",P28,O28)</f>
        <v/>
      </c>
    </row>
    <row r="29">
      <c r="A29" s="130" t="n">
        <v>28</v>
      </c>
      <c r="B29" s="130" t="inlineStr">
        <is>
          <t>FORMAÇÃO</t>
        </is>
      </c>
      <c r="C29" s="130" t="inlineStr">
        <is>
          <t>Acompanhar produção dos egressos (acadêmica e profissional)</t>
        </is>
      </c>
      <c r="D29" s="130" t="inlineStr">
        <is>
          <t>Ter controle dos avanços obtidos pelos alunos, permitindo mensurar impacto do programa.</t>
        </is>
      </c>
      <c r="E29" s="130" t="inlineStr">
        <is>
          <t>Comissão de Acompanhamento de Egressos</t>
        </is>
      </c>
      <c r="F29" s="130" t="n">
        <v/>
      </c>
      <c r="G29" s="130" t="n">
        <v/>
      </c>
      <c r="H29" s="130" t="n">
        <v/>
      </c>
      <c r="I29" s="130" t="n">
        <v/>
      </c>
      <c r="J29" s="130" t="inlineStr">
        <is>
          <t>EM ANDAMENTO</t>
        </is>
      </c>
      <c r="K29" s="130" t="n">
        <v/>
      </c>
      <c r="L29" s="130" t="inlineStr">
        <is>
          <t>OKR2</t>
        </is>
      </c>
      <c r="M29" s="130" t="n">
        <v/>
      </c>
      <c r="N29" s="130" t="inlineStr">
        <is>
          <t>OKR2</t>
        </is>
      </c>
      <c r="O29" s="130" t="inlineStr">
        <is>
          <t>OKR2.KR2</t>
        </is>
      </c>
      <c r="P29" s="130" t="inlineStr"/>
      <c r="Q29" s="130" t="inlineStr">
        <is>
          <t>Elevar % de discentes/egressos com produção em estratos superiores (top 2 e top 4) conforme ficha CAPES.</t>
        </is>
      </c>
      <c r="R29" s="130" t="inlineStr">
        <is>
          <t>≥60% (top 2) e ≥80% (top 4)</t>
        </is>
      </c>
      <c r="S29" s="130" t="inlineStr">
        <is>
          <t>Semestral</t>
        </is>
      </c>
      <c r="T29" s="130">
        <f>IF(P29&lt;&gt;"",P29,O29)</f>
        <v/>
      </c>
    </row>
    <row r="30">
      <c r="A30" s="130" t="n">
        <v>29</v>
      </c>
      <c r="B30" s="130" t="inlineStr">
        <is>
          <t>FORMAÇÃO</t>
        </is>
      </c>
      <c r="C30" s="130" t="inlineStr">
        <is>
          <t>Buscar demanda do corpo discente e docente acerca de capacitações necessárias</t>
        </is>
      </c>
      <c r="D30" s="130" t="n">
        <v/>
      </c>
      <c r="E30" s="130" t="inlineStr">
        <is>
          <t>Coordenação do MPEA</t>
        </is>
      </c>
      <c r="F30" s="130" t="n">
        <v/>
      </c>
      <c r="G30" s="130" t="n">
        <v/>
      </c>
      <c r="H30" s="130" t="n">
        <v/>
      </c>
      <c r="I30" s="130" t="n">
        <v/>
      </c>
      <c r="J30" s="130" t="inlineStr">
        <is>
          <t>EM ANDAMENTO</t>
        </is>
      </c>
      <c r="K30" s="130" t="n">
        <v/>
      </c>
      <c r="L30" s="130" t="inlineStr">
        <is>
          <t>OKR2</t>
        </is>
      </c>
      <c r="M30" s="130" t="n">
        <v/>
      </c>
      <c r="N30" s="130" t="inlineStr">
        <is>
          <t>OKR2</t>
        </is>
      </c>
      <c r="O30" s="130" t="inlineStr">
        <is>
          <t>OKR2.KR2</t>
        </is>
      </c>
      <c r="P30" s="130" t="inlineStr"/>
      <c r="Q30" s="130" t="inlineStr">
        <is>
          <t>Elevar % de discentes/egressos com produção em estratos superiores (top 2 e top 4) conforme ficha CAPES.</t>
        </is>
      </c>
      <c r="R30" s="130" t="inlineStr">
        <is>
          <t>≥60% (top 2) e ≥80% (top 4)</t>
        </is>
      </c>
      <c r="S30" s="130" t="inlineStr">
        <is>
          <t>Semestral</t>
        </is>
      </c>
      <c r="T30" s="130">
        <f>IF(P30&lt;&gt;"",P30,O30)</f>
        <v/>
      </c>
    </row>
    <row r="31">
      <c r="A31" s="130" t="n">
        <v>30</v>
      </c>
      <c r="B31" s="130" t="inlineStr">
        <is>
          <t>FORMAÇÃO</t>
        </is>
      </c>
      <c r="C31" s="130" t="inlineStr">
        <is>
          <t>Capacitação anual de docentes e discentes, sobre o alinhamento e mecanismos de registro dos produtos (lattes e nos órgãos reguladores).</t>
        </is>
      </c>
      <c r="D31" s="130" t="inlineStr">
        <is>
          <t>Falta de registro do produto no lattes e nos órgãos reguladores. Falta de alinhamento entre os produtos e a linha de pesquisa.</t>
        </is>
      </c>
      <c r="E31" s="130" t="inlineStr">
        <is>
          <t>Coordenação do MPEA</t>
        </is>
      </c>
      <c r="F31" s="130" t="n">
        <v/>
      </c>
      <c r="G31" s="130" t="n">
        <v/>
      </c>
      <c r="H31" s="130" t="n">
        <v/>
      </c>
      <c r="I31" s="130" t="n">
        <v/>
      </c>
      <c r="J31" s="130" t="inlineStr">
        <is>
          <t>EM ANDAMENTO</t>
        </is>
      </c>
      <c r="K31" s="130" t="n">
        <v/>
      </c>
      <c r="L31" s="130" t="inlineStr">
        <is>
          <t>OKR2</t>
        </is>
      </c>
      <c r="M31" s="130" t="n">
        <v/>
      </c>
      <c r="N31" s="130" t="inlineStr">
        <is>
          <t>OKR2</t>
        </is>
      </c>
      <c r="O31" s="130" t="inlineStr">
        <is>
          <t>OKR2.KR2</t>
        </is>
      </c>
      <c r="P31" s="130" t="inlineStr"/>
      <c r="Q31" s="130" t="inlineStr">
        <is>
          <t>Elevar % de discentes/egressos com produção em estratos superiores (top 2 e top 4) conforme ficha CAPES.</t>
        </is>
      </c>
      <c r="R31" s="130" t="inlineStr">
        <is>
          <t>≥60% (top 2) e ≥80% (top 4)</t>
        </is>
      </c>
      <c r="S31" s="130" t="inlineStr">
        <is>
          <t>Semestral</t>
        </is>
      </c>
      <c r="T31" s="130">
        <f>IF(P31&lt;&gt;"",P31,O31)</f>
        <v/>
      </c>
    </row>
    <row r="32">
      <c r="A32" s="130" t="n">
        <v>31</v>
      </c>
      <c r="B32" s="130" t="inlineStr">
        <is>
          <t>FORMAÇÃO</t>
        </is>
      </c>
      <c r="C32" s="130" t="inlineStr">
        <is>
          <t>Incorporar na disciplina de projetos e práticas, o registro do protótipo do produto como critério de avaliação</t>
        </is>
      </c>
      <c r="D32" s="130" t="n">
        <v/>
      </c>
      <c r="E32" s="130" t="inlineStr">
        <is>
          <t>Comissão de Credenciamento e Acompanhamento Docente</t>
        </is>
      </c>
      <c r="F32" s="130" t="n">
        <v/>
      </c>
      <c r="G32" s="130" t="n">
        <v/>
      </c>
      <c r="H32" s="130" t="n">
        <v/>
      </c>
      <c r="I32" s="130" t="n">
        <v/>
      </c>
      <c r="J32" s="130" t="inlineStr">
        <is>
          <t>EM ANDAMENTO</t>
        </is>
      </c>
      <c r="K32" s="130" t="n">
        <v/>
      </c>
      <c r="L32" s="130" t="inlineStr">
        <is>
          <t>OKR2</t>
        </is>
      </c>
      <c r="M32" s="130" t="n">
        <v/>
      </c>
      <c r="N32" s="130" t="inlineStr">
        <is>
          <t>OKR2</t>
        </is>
      </c>
      <c r="O32" s="130" t="inlineStr">
        <is>
          <t>OKR2.KR1</t>
        </is>
      </c>
      <c r="P32" s="130" t="inlineStr"/>
      <c r="Q32" s="130" t="inlineStr">
        <is>
          <t>Atingir proporção de produção docente nos estratos superiores (A1+A2) compatível com padrão nota 6.</t>
        </is>
      </c>
      <c r="R32" s="130" t="inlineStr">
        <is>
          <t>≥50% A1+A2</t>
        </is>
      </c>
      <c r="S32" s="130" t="inlineStr">
        <is>
          <t>Trimestral</t>
        </is>
      </c>
      <c r="T32" s="130">
        <f>IF(P32&lt;&gt;"",P32,O32)</f>
        <v/>
      </c>
    </row>
    <row r="33">
      <c r="A33" s="130" t="n">
        <v>32</v>
      </c>
      <c r="B33" s="130" t="inlineStr">
        <is>
          <t>FORMAÇÃO</t>
        </is>
      </c>
      <c r="C33" s="130" t="inlineStr">
        <is>
          <t xml:space="preserve">Sensibilização dos gestores dos serviços para implementação dos produtos na prática assistencial </t>
        </is>
      </c>
      <c r="D33" s="130" t="inlineStr">
        <is>
          <t xml:space="preserve">Falta de aplicação do produto na prática </t>
        </is>
      </c>
      <c r="E33" s="130" t="inlineStr">
        <is>
          <t>Coordenação do MPEA</t>
        </is>
      </c>
      <c r="F33" s="130" t="n">
        <v/>
      </c>
      <c r="G33" s="130" t="n">
        <v/>
      </c>
      <c r="H33" s="130" t="n">
        <v/>
      </c>
      <c r="I33" s="130" t="n">
        <v/>
      </c>
      <c r="J33" s="130" t="inlineStr">
        <is>
          <t>EM ANDAMENTO</t>
        </is>
      </c>
      <c r="K33" s="130" t="n">
        <v/>
      </c>
      <c r="L33" s="130" t="inlineStr">
        <is>
          <t>OKR2</t>
        </is>
      </c>
      <c r="M33" s="130" t="n">
        <v/>
      </c>
      <c r="N33" s="130" t="inlineStr">
        <is>
          <t>OKR2</t>
        </is>
      </c>
      <c r="O33" s="130" t="inlineStr">
        <is>
          <t>OKR2.KR1</t>
        </is>
      </c>
      <c r="P33" s="130" t="inlineStr"/>
      <c r="Q33" s="130" t="inlineStr">
        <is>
          <t>Atingir proporção de produção docente nos estratos superiores (A1+A2) compatível com padrão nota 6.</t>
        </is>
      </c>
      <c r="R33" s="130" t="inlineStr">
        <is>
          <t>≥50% A1+A2</t>
        </is>
      </c>
      <c r="S33" s="130" t="inlineStr">
        <is>
          <t>Trimestral</t>
        </is>
      </c>
      <c r="T33" s="130">
        <f>IF(P33&lt;&gt;"",P33,O33)</f>
        <v/>
      </c>
    </row>
    <row r="34">
      <c r="A34" s="130" t="n">
        <v>33</v>
      </c>
      <c r="B34" s="130" t="inlineStr">
        <is>
          <t>FORMAÇÃO</t>
        </is>
      </c>
      <c r="C34" s="130" t="inlineStr">
        <is>
          <t>Estimular participação em eventos e inscrição dos trabalhos à prêmios</t>
        </is>
      </c>
      <c r="D34" s="130" t="inlineStr">
        <is>
          <t xml:space="preserve">Poucos prêmios obtidos por discentes e egressos </t>
        </is>
      </c>
      <c r="E34" s="130" t="inlineStr">
        <is>
          <t>Comissão de Acompanhamento Discente</t>
        </is>
      </c>
      <c r="F34" s="130" t="n">
        <v/>
      </c>
      <c r="G34" s="130" t="n">
        <v/>
      </c>
      <c r="H34" s="130" t="n">
        <v/>
      </c>
      <c r="I34" s="130" t="n">
        <v/>
      </c>
      <c r="J34" s="130" t="inlineStr">
        <is>
          <t>EM ANDAMENTO</t>
        </is>
      </c>
      <c r="K34" s="130" t="n">
        <v/>
      </c>
      <c r="L34" s="130" t="inlineStr">
        <is>
          <t>OKR2</t>
        </is>
      </c>
      <c r="M34" s="130" t="n">
        <v/>
      </c>
      <c r="N34" s="130" t="inlineStr">
        <is>
          <t>OKR2</t>
        </is>
      </c>
      <c r="O34" s="130" t="inlineStr">
        <is>
          <t>OKR2.KR2</t>
        </is>
      </c>
      <c r="P34" s="130" t="inlineStr"/>
      <c r="Q34" s="130" t="inlineStr">
        <is>
          <t>Elevar % de discentes/egressos com produção em estratos superiores (top 2 e top 4) conforme ficha CAPES.</t>
        </is>
      </c>
      <c r="R34" s="130" t="inlineStr">
        <is>
          <t>≥60% (top 2) e ≥80% (top 4)</t>
        </is>
      </c>
      <c r="S34" s="130" t="inlineStr">
        <is>
          <t>Semestral</t>
        </is>
      </c>
      <c r="T34" s="130">
        <f>IF(P34&lt;&gt;"",P34,O34)</f>
        <v/>
      </c>
    </row>
    <row r="35">
      <c r="A35" s="130" t="n">
        <v>34</v>
      </c>
      <c r="B35" s="130" t="inlineStr">
        <is>
          <t>FORMAÇÃO</t>
        </is>
      </c>
      <c r="C35" s="130" t="inlineStr">
        <is>
          <t>Divulgar a avaliação do programa e das disciplinas por parte do docentes, discentes e egressos.</t>
        </is>
      </c>
      <c r="D35" s="130" t="inlineStr">
        <is>
          <t xml:space="preserve">Falta de divulgação de avaliação do programa e das disciplinas por parte do docentes, discentes e egressos </t>
        </is>
      </c>
      <c r="E35" s="130" t="inlineStr">
        <is>
          <t>Comissão de Acompanhamento Discente</t>
        </is>
      </c>
      <c r="F35" s="130" t="n">
        <v/>
      </c>
      <c r="G35" s="130" t="n">
        <v/>
      </c>
      <c r="H35" s="130" t="n">
        <v/>
      </c>
      <c r="I35" s="130" t="n">
        <v/>
      </c>
      <c r="J35" s="130" t="inlineStr">
        <is>
          <t>EM ANDAMENTO</t>
        </is>
      </c>
      <c r="K35" s="130" t="n">
        <v/>
      </c>
      <c r="L35" s="130" t="inlineStr">
        <is>
          <t>OKR2</t>
        </is>
      </c>
      <c r="M35" s="130" t="n">
        <v/>
      </c>
      <c r="N35" s="130" t="inlineStr">
        <is>
          <t>OKR2</t>
        </is>
      </c>
      <c r="O35" s="130" t="inlineStr">
        <is>
          <t>OKR2.KR2</t>
        </is>
      </c>
      <c r="P35" s="130" t="inlineStr"/>
      <c r="Q35" s="130" t="inlineStr">
        <is>
          <t>Elevar % de discentes/egressos com produção em estratos superiores (top 2 e top 4) conforme ficha CAPES.</t>
        </is>
      </c>
      <c r="R35" s="130" t="inlineStr">
        <is>
          <t>≥60% (top 2) e ≥80% (top 4)</t>
        </is>
      </c>
      <c r="S35" s="130" t="inlineStr">
        <is>
          <t>Semestral</t>
        </is>
      </c>
      <c r="T35" s="130">
        <f>IF(P35&lt;&gt;"",P35,O35)</f>
        <v/>
      </c>
    </row>
    <row r="36">
      <c r="A36" s="130" t="n">
        <v>35</v>
      </c>
      <c r="B36" s="130" t="inlineStr">
        <is>
          <t>FORMAÇÃO</t>
        </is>
      </c>
      <c r="C36" s="130" t="inlineStr">
        <is>
          <t>Estimular a elaborar/vinculação dos projetos de pesquisa a instituições de educação básica</t>
        </is>
      </c>
      <c r="D36" s="130" t="inlineStr">
        <is>
          <t xml:space="preserve"> Projetos docentes para educação básica </t>
        </is>
      </c>
      <c r="E36" s="130" t="inlineStr">
        <is>
          <t>Comissão de Credenciamento e Acompanhamento Docente</t>
        </is>
      </c>
      <c r="F36" s="130" t="n">
        <v/>
      </c>
      <c r="G36" s="130" t="n">
        <v/>
      </c>
      <c r="H36" s="130" t="n">
        <v/>
      </c>
      <c r="I36" s="130" t="n">
        <v/>
      </c>
      <c r="J36" s="130" t="inlineStr">
        <is>
          <t>EM ANDAMENTO</t>
        </is>
      </c>
      <c r="K36" s="130" t="n">
        <v/>
      </c>
      <c r="L36" s="130" t="inlineStr">
        <is>
          <t>OKR2</t>
        </is>
      </c>
      <c r="M36" s="130" t="n">
        <v/>
      </c>
      <c r="N36" s="130" t="inlineStr">
        <is>
          <t>OKR2</t>
        </is>
      </c>
      <c r="O36" s="130" t="inlineStr">
        <is>
          <t>OKR2.KR1</t>
        </is>
      </c>
      <c r="P36" s="130" t="inlineStr"/>
      <c r="Q36" s="130" t="inlineStr">
        <is>
          <t>Atingir proporção de produção docente nos estratos superiores (A1+A2) compatível com padrão nota 6.</t>
        </is>
      </c>
      <c r="R36" s="130" t="inlineStr">
        <is>
          <t>≥50% A1+A2</t>
        </is>
      </c>
      <c r="S36" s="130" t="inlineStr">
        <is>
          <t>Trimestral</t>
        </is>
      </c>
      <c r="T36" s="130">
        <f>IF(P36&lt;&gt;"",P36,O36)</f>
        <v/>
      </c>
    </row>
    <row r="37">
      <c r="A37" s="130" t="n">
        <v>36</v>
      </c>
      <c r="B37" s="130" t="inlineStr">
        <is>
          <t>FORMAÇÃO</t>
        </is>
      </c>
      <c r="C37" s="130" t="inlineStr">
        <is>
          <t>Concorrer edital CAPES/Cofen</t>
        </is>
      </c>
      <c r="D37" s="130" t="inlineStr">
        <is>
          <t xml:space="preserve">Falta de recurso para confecção do produto </t>
        </is>
      </c>
      <c r="E37" s="130" t="inlineStr">
        <is>
          <t>Coordenação do MPEA</t>
        </is>
      </c>
      <c r="F37" s="130" t="n">
        <v/>
      </c>
      <c r="G37" s="130" t="n">
        <v/>
      </c>
      <c r="H37" s="130" t="n">
        <v/>
      </c>
      <c r="I37" s="130" t="n">
        <v/>
      </c>
      <c r="J37" s="130" t="inlineStr">
        <is>
          <t>EM ANDAMENTO</t>
        </is>
      </c>
      <c r="K37" s="130" t="n">
        <v/>
      </c>
      <c r="L37" s="130" t="inlineStr">
        <is>
          <t>OKR2</t>
        </is>
      </c>
      <c r="M37" s="130" t="n">
        <v/>
      </c>
      <c r="N37" s="130" t="inlineStr">
        <is>
          <t>OKR2</t>
        </is>
      </c>
      <c r="O37" s="130" t="inlineStr">
        <is>
          <t>OKR2.KR1</t>
        </is>
      </c>
      <c r="P37" s="130" t="inlineStr"/>
      <c r="Q37" s="130" t="inlineStr">
        <is>
          <t>Atingir proporção de produção docente nos estratos superiores (A1+A2) compatível com padrão nota 6.</t>
        </is>
      </c>
      <c r="R37" s="130" t="inlineStr">
        <is>
          <t>≥50% A1+A2</t>
        </is>
      </c>
      <c r="S37" s="130" t="inlineStr">
        <is>
          <t>Trimestral</t>
        </is>
      </c>
      <c r="T37" s="130">
        <f>IF(P37&lt;&gt;"",P37,O37)</f>
        <v/>
      </c>
    </row>
    <row r="38">
      <c r="A38" s="130" t="n">
        <v>37</v>
      </c>
      <c r="B38" s="130" t="inlineStr">
        <is>
          <t>FORMAÇÃO</t>
        </is>
      </c>
      <c r="C38" s="130" t="inlineStr">
        <is>
          <t>Estabelecer estratégias para a permanência dos docentes no Programa</t>
        </is>
      </c>
      <c r="D38" s="130" t="n">
        <v/>
      </c>
      <c r="E38" s="130" t="inlineStr">
        <is>
          <t>Comissão de Credenciamento e Acompanhamento Docente</t>
        </is>
      </c>
      <c r="F38" s="130" t="n">
        <v/>
      </c>
      <c r="G38" s="130" t="n">
        <v/>
      </c>
      <c r="H38" s="130" t="n">
        <v/>
      </c>
      <c r="I38" s="130" t="n">
        <v/>
      </c>
      <c r="J38" s="130" t="inlineStr">
        <is>
          <t>EM ANDAMENTO</t>
        </is>
      </c>
      <c r="K38" s="130" t="n">
        <v/>
      </c>
      <c r="L38" s="130" t="inlineStr">
        <is>
          <t>OKR2</t>
        </is>
      </c>
      <c r="M38" s="130" t="n">
        <v/>
      </c>
      <c r="N38" s="130" t="inlineStr">
        <is>
          <t>OKR2</t>
        </is>
      </c>
      <c r="O38" s="130" t="inlineStr">
        <is>
          <t>OKR2.KR1</t>
        </is>
      </c>
      <c r="P38" s="130" t="inlineStr"/>
      <c r="Q38" s="130" t="inlineStr">
        <is>
          <t>Atingir proporção de produção docente nos estratos superiores (A1+A2) compatível com padrão nota 6.</t>
        </is>
      </c>
      <c r="R38" s="130" t="inlineStr">
        <is>
          <t>≥50% A1+A2</t>
        </is>
      </c>
      <c r="S38" s="130" t="inlineStr">
        <is>
          <t>Trimestral</t>
        </is>
      </c>
      <c r="T38" s="130">
        <f>IF(P38&lt;&gt;"",P38,O38)</f>
        <v/>
      </c>
    </row>
    <row r="39">
      <c r="A39" s="130" t="n">
        <v>38</v>
      </c>
      <c r="B39" s="130" t="inlineStr">
        <is>
          <t>FORMAÇÃO</t>
        </is>
      </c>
      <c r="C39" s="130" t="inlineStr">
        <is>
          <t xml:space="preserve">Medida do fluxo discentes (número de entrada - de saída) </t>
        </is>
      </c>
      <c r="D39" s="130" t="inlineStr">
        <is>
          <t xml:space="preserve">QUALIDADE DAS DISSERTAÇÕES </t>
        </is>
      </c>
      <c r="E39" s="130" t="inlineStr">
        <is>
          <t>Comissão de Acompanhamento Discente</t>
        </is>
      </c>
      <c r="F39" s="130" t="n">
        <v/>
      </c>
      <c r="G39" s="130" t="n">
        <v/>
      </c>
      <c r="H39" s="130" t="n">
        <v/>
      </c>
      <c r="I39" s="130" t="n">
        <v/>
      </c>
      <c r="J39" s="130" t="inlineStr">
        <is>
          <t>EM ANDAMENTO</t>
        </is>
      </c>
      <c r="K39" s="130" t="n">
        <v/>
      </c>
      <c r="L39" s="130" t="inlineStr">
        <is>
          <t>OKR2</t>
        </is>
      </c>
      <c r="M39" s="130" t="n">
        <v/>
      </c>
      <c r="N39" s="130" t="inlineStr">
        <is>
          <t>OKR2</t>
        </is>
      </c>
      <c r="O39" s="130" t="inlineStr">
        <is>
          <t>OKR2.KR2</t>
        </is>
      </c>
      <c r="P39" s="130" t="inlineStr"/>
      <c r="Q39" s="130" t="inlineStr">
        <is>
          <t>Elevar % de discentes/egressos com produção em estratos superiores (top 2 e top 4) conforme ficha CAPES.</t>
        </is>
      </c>
      <c r="R39" s="130" t="inlineStr">
        <is>
          <t>≥60% (top 2) e ≥80% (top 4)</t>
        </is>
      </c>
      <c r="S39" s="130" t="inlineStr">
        <is>
          <t>Semestral</t>
        </is>
      </c>
      <c r="T39" s="130">
        <f>IF(P39&lt;&gt;"",P39,O39)</f>
        <v/>
      </c>
    </row>
    <row r="40">
      <c r="A40" s="130" t="n">
        <v>39</v>
      </c>
      <c r="B40" s="130" t="inlineStr">
        <is>
          <t>FORMAÇÃO</t>
        </is>
      </c>
      <c r="C40" s="130" t="inlineStr">
        <is>
          <t>Estímulo a formação de discentes em língua estrangeira com certificação</t>
        </is>
      </c>
      <c r="D40" s="130" t="n">
        <v/>
      </c>
      <c r="E40" s="130" t="inlineStr">
        <is>
          <t>Comissão de Acompanhamento Discente</t>
        </is>
      </c>
      <c r="F40" s="130" t="n">
        <v/>
      </c>
      <c r="G40" s="130" t="n">
        <v/>
      </c>
      <c r="H40" s="130" t="n">
        <v/>
      </c>
      <c r="I40" s="130" t="n">
        <v/>
      </c>
      <c r="J40" s="130" t="inlineStr">
        <is>
          <t>PENDENTE</t>
        </is>
      </c>
      <c r="K40" s="130" t="n">
        <v/>
      </c>
      <c r="L40" s="130" t="inlineStr">
        <is>
          <t>OKR4</t>
        </is>
      </c>
      <c r="M40" s="130" t="n">
        <v/>
      </c>
      <c r="N40" s="130" t="inlineStr">
        <is>
          <t>OKR4</t>
        </is>
      </c>
      <c r="O40" s="130" t="inlineStr">
        <is>
          <t>OKR4.KR1</t>
        </is>
      </c>
      <c r="P40" s="130" t="inlineStr"/>
      <c r="Q40" s="130" t="inlineStr">
        <is>
          <t>Garantir que ≥50% do DP realize ≥3 ações internacionais no quadriênio.</t>
        </is>
      </c>
      <c r="R40" s="130" t="inlineStr">
        <is>
          <t>≥50% DP</t>
        </is>
      </c>
      <c r="S40" s="130" t="inlineStr">
        <is>
          <t>Anual</t>
        </is>
      </c>
      <c r="T40" s="130">
        <f>IF(P40&lt;&gt;"",P40,O40)</f>
        <v/>
      </c>
    </row>
    <row r="41">
      <c r="A41" s="130" t="n">
        <v>40</v>
      </c>
      <c r="B41" s="130" t="inlineStr">
        <is>
          <t>FORMAÇÃO</t>
        </is>
      </c>
      <c r="C41" s="130" t="inlineStr">
        <is>
          <t>Maior mobilidade internacional de discentes</t>
        </is>
      </c>
      <c r="D41" s="130" t="n">
        <v/>
      </c>
      <c r="E41" s="130" t="inlineStr">
        <is>
          <t>Coordenação do MPEA</t>
        </is>
      </c>
      <c r="F41" s="130" t="n">
        <v/>
      </c>
      <c r="G41" s="130" t="n">
        <v/>
      </c>
      <c r="H41" s="130" t="n">
        <v/>
      </c>
      <c r="I41" s="130" t="n">
        <v/>
      </c>
      <c r="J41" s="130" t="inlineStr">
        <is>
          <t>EM ANDAMENTO</t>
        </is>
      </c>
      <c r="K41" s="130" t="n">
        <v/>
      </c>
      <c r="L41" s="130" t="inlineStr">
        <is>
          <t>OKR4</t>
        </is>
      </c>
      <c r="M41" s="130" t="n">
        <v/>
      </c>
      <c r="N41" s="130" t="inlineStr">
        <is>
          <t>OKR4</t>
        </is>
      </c>
      <c r="O41" s="130" t="inlineStr">
        <is>
          <t>OKR4.KR1</t>
        </is>
      </c>
      <c r="P41" s="130" t="inlineStr"/>
      <c r="Q41" s="130" t="inlineStr">
        <is>
          <t>Garantir que ≥50% do DP realize ≥3 ações internacionais no quadriênio.</t>
        </is>
      </c>
      <c r="R41" s="130" t="inlineStr">
        <is>
          <t>≥50% DP</t>
        </is>
      </c>
      <c r="S41" s="130" t="inlineStr">
        <is>
          <t>Anual</t>
        </is>
      </c>
      <c r="T41" s="130">
        <f>IF(P41&lt;&gt;"",P41,O41)</f>
        <v/>
      </c>
    </row>
    <row r="42">
      <c r="A42" s="130" t="n">
        <v>41</v>
      </c>
      <c r="B42" s="130" t="inlineStr">
        <is>
          <t>FORMAÇÃO</t>
        </is>
      </c>
      <c r="C42" s="130" t="inlineStr">
        <is>
          <t>Medida da produção docente e docente/discente</t>
        </is>
      </c>
      <c r="D42" s="130" t="inlineStr">
        <is>
          <t xml:space="preserve">FALTA DE PRODUÇÃO BIBLIOGRÁFICA QUALIFICADA (QUALIS A) </t>
        </is>
      </c>
      <c r="E42" s="130" t="inlineStr">
        <is>
          <t>Comissão de Credenciamento e Acompanhamento Docente</t>
        </is>
      </c>
      <c r="F42" s="130" t="n">
        <v/>
      </c>
      <c r="G42" s="130" t="n">
        <v/>
      </c>
      <c r="H42" s="130" t="n">
        <v/>
      </c>
      <c r="I42" s="130" t="n">
        <v/>
      </c>
      <c r="J42" s="130" t="inlineStr">
        <is>
          <t>EM ANDAMENTO</t>
        </is>
      </c>
      <c r="K42" s="130" t="n">
        <v/>
      </c>
      <c r="L42" s="130" t="inlineStr">
        <is>
          <t>OKR2</t>
        </is>
      </c>
      <c r="M42" s="130" t="n">
        <v/>
      </c>
      <c r="N42" s="130" t="inlineStr">
        <is>
          <t>OKR2</t>
        </is>
      </c>
      <c r="O42" s="130" t="inlineStr">
        <is>
          <t>OKR2.KR1</t>
        </is>
      </c>
      <c r="P42" s="130" t="inlineStr"/>
      <c r="Q42" s="130" t="inlineStr">
        <is>
          <t>Atingir proporção de produção docente nos estratos superiores (A1+A2) compatível com padrão nota 6.</t>
        </is>
      </c>
      <c r="R42" s="130" t="inlineStr">
        <is>
          <t>≥50% A1+A2</t>
        </is>
      </c>
      <c r="S42" s="130" t="inlineStr">
        <is>
          <t>Trimestral</t>
        </is>
      </c>
      <c r="T42" s="130">
        <f>IF(P42&lt;&gt;"",P42,O42)</f>
        <v/>
      </c>
    </row>
    <row r="43">
      <c r="A43" s="130" t="n">
        <v>42</v>
      </c>
      <c r="B43" s="130" t="inlineStr">
        <is>
          <t>IMPACTO</t>
        </is>
      </c>
      <c r="C43" s="130" t="inlineStr">
        <is>
          <t>Medir o impacto dos  produtos das dissertações</t>
        </is>
      </c>
      <c r="D43" s="130" t="inlineStr">
        <is>
          <t xml:space="preserve">Potencial de impacto na avaliação do programa </t>
        </is>
      </c>
      <c r="E43" s="130" t="inlineStr">
        <is>
          <t>Comissão de Acompanhamento de Egressos</t>
        </is>
      </c>
      <c r="F43" s="130" t="n">
        <v/>
      </c>
      <c r="G43" s="130" t="n">
        <v/>
      </c>
      <c r="H43" s="130" t="n">
        <v/>
      </c>
      <c r="I43" s="130" t="n">
        <v/>
      </c>
      <c r="J43" s="130" t="inlineStr">
        <is>
          <t>EM ANDAMENTO</t>
        </is>
      </c>
      <c r="K43" s="130" t="n">
        <v/>
      </c>
      <c r="L43" s="130" t="inlineStr">
        <is>
          <t>OKR3</t>
        </is>
      </c>
      <c r="M43" s="130" t="n">
        <v/>
      </c>
      <c r="N43" s="130" t="inlineStr">
        <is>
          <t>OKR3</t>
        </is>
      </c>
      <c r="O43" s="130" t="inlineStr">
        <is>
          <t>OKR3.KR1</t>
        </is>
      </c>
      <c r="P43" s="130" t="inlineStr"/>
      <c r="Q43" s="130" t="inlineStr">
        <is>
          <t>Construir e documentar 3 casos de impacto com evidências (adoção/efeitos externos) no quadriênio, com participação discente.</t>
        </is>
      </c>
      <c r="R43" s="130" t="inlineStr">
        <is>
          <t>≥3 casos</t>
        </is>
      </c>
      <c r="S43" s="130" t="inlineStr">
        <is>
          <t>Semestral</t>
        </is>
      </c>
      <c r="T43" s="130">
        <f>IF(P43&lt;&gt;"",P43,O43)</f>
        <v/>
      </c>
    </row>
    <row r="44">
      <c r="A44" s="130" t="n">
        <v>43</v>
      </c>
      <c r="B44" s="130" t="inlineStr">
        <is>
          <t>IMPACTO</t>
        </is>
      </c>
      <c r="C44" s="130" t="inlineStr">
        <is>
          <t>Acelerar a produção intelectual e técnica dos docentes recém credenciados</t>
        </is>
      </c>
      <c r="D44" s="130" t="n">
        <v/>
      </c>
      <c r="E44" s="130" t="inlineStr">
        <is>
          <t>Comissão de Credenciamento e Acompanhamento Docente</t>
        </is>
      </c>
      <c r="F44" s="130" t="n">
        <v/>
      </c>
      <c r="G44" s="130" t="n">
        <v/>
      </c>
      <c r="H44" s="130" t="n">
        <v/>
      </c>
      <c r="I44" s="130" t="n">
        <v/>
      </c>
      <c r="J44" s="130" t="inlineStr">
        <is>
          <t>EM ANDAMENTO</t>
        </is>
      </c>
      <c r="K44" s="130" t="n">
        <v/>
      </c>
      <c r="L44" s="130" t="inlineStr">
        <is>
          <t>OKR5</t>
        </is>
      </c>
      <c r="M44" s="130" t="n">
        <v/>
      </c>
      <c r="N44" s="130" t="inlineStr">
        <is>
          <t>OKR5</t>
        </is>
      </c>
      <c r="O44" s="130" t="inlineStr">
        <is>
          <t>OKR5.KR1</t>
        </is>
      </c>
      <c r="P44" s="130" t="inlineStr"/>
      <c r="Q44" s="130" t="inlineStr">
        <is>
          <t>Garantir que ≥60% do DP realize ≥3 ações de inserção regional/nacional no quadriênio.</t>
        </is>
      </c>
      <c r="R44" s="130" t="inlineStr">
        <is>
          <t>≥60% DP</t>
        </is>
      </c>
      <c r="S44" s="130" t="inlineStr">
        <is>
          <t>Anual</t>
        </is>
      </c>
      <c r="T44" s="130">
        <f>IF(P44&lt;&gt;"",P44,O44)</f>
        <v/>
      </c>
    </row>
    <row r="45">
      <c r="A45" s="130" t="n">
        <v>44</v>
      </c>
      <c r="B45" s="130" t="inlineStr">
        <is>
          <t>IMPACTO</t>
        </is>
      </c>
      <c r="C45" s="130" t="inlineStr">
        <is>
          <t xml:space="preserve">Estimular a produção dos docentes recém credenciados com os docentes permanentes </t>
        </is>
      </c>
      <c r="D45" s="130" t="n">
        <v/>
      </c>
      <c r="E45" s="130" t="inlineStr">
        <is>
          <t>Comissão de Credenciamento e Acompanhamento Docente</t>
        </is>
      </c>
      <c r="F45" s="130" t="n">
        <v/>
      </c>
      <c r="G45" s="130" t="n">
        <v/>
      </c>
      <c r="H45" s="130" t="n">
        <v/>
      </c>
      <c r="I45" s="130" t="n">
        <v/>
      </c>
      <c r="J45" s="130" t="inlineStr">
        <is>
          <t>EM ANDAMENTO</t>
        </is>
      </c>
      <c r="K45" s="130" t="n">
        <v/>
      </c>
      <c r="L45" s="130" t="inlineStr">
        <is>
          <t>OKR5</t>
        </is>
      </c>
      <c r="M45" s="130" t="n">
        <v/>
      </c>
      <c r="N45" s="130" t="inlineStr">
        <is>
          <t>OKR5</t>
        </is>
      </c>
      <c r="O45" s="130" t="inlineStr">
        <is>
          <t>OKR5.KR1</t>
        </is>
      </c>
      <c r="P45" s="130" t="inlineStr"/>
      <c r="Q45" s="130" t="inlineStr">
        <is>
          <t>Garantir que ≥60% do DP realize ≥3 ações de inserção regional/nacional no quadriênio.</t>
        </is>
      </c>
      <c r="R45" s="130" t="inlineStr">
        <is>
          <t>≥60% DP</t>
        </is>
      </c>
      <c r="S45" s="130" t="inlineStr">
        <is>
          <t>Anual</t>
        </is>
      </c>
      <c r="T45" s="130">
        <f>IF(P45&lt;&gt;"",P45,O45)</f>
        <v/>
      </c>
    </row>
    <row r="46">
      <c r="A46" s="130" t="n">
        <v>45</v>
      </c>
      <c r="B46" s="130" t="inlineStr">
        <is>
          <t>IMPACTO</t>
        </is>
      </c>
      <c r="C46" s="130" t="inlineStr">
        <is>
          <t>Ampliar a  Internacionalização dos alunos MPEA</t>
        </is>
      </c>
      <c r="D46" s="130" t="inlineStr">
        <is>
          <t xml:space="preserve">Estabelecer parcerias internacionais </t>
        </is>
      </c>
      <c r="E46" s="130" t="inlineStr">
        <is>
          <t>Comissão de Acompanhamento Discente</t>
        </is>
      </c>
      <c r="F46" s="130" t="n">
        <v/>
      </c>
      <c r="G46" s="130" t="n">
        <v/>
      </c>
      <c r="H46" s="130" t="n">
        <v/>
      </c>
      <c r="I46" s="130" t="n">
        <v/>
      </c>
      <c r="J46" s="130" t="inlineStr">
        <is>
          <t>EM ANDAMENTO</t>
        </is>
      </c>
      <c r="K46" s="130" t="n">
        <v/>
      </c>
      <c r="L46" s="130" t="inlineStr">
        <is>
          <t>OKR4</t>
        </is>
      </c>
      <c r="M46" s="130" t="n">
        <v/>
      </c>
      <c r="N46" s="130" t="inlineStr">
        <is>
          <t>OKR4</t>
        </is>
      </c>
      <c r="O46" s="130" t="inlineStr">
        <is>
          <t>OKR4.KR1</t>
        </is>
      </c>
      <c r="P46" s="130" t="inlineStr"/>
      <c r="Q46" s="130" t="inlineStr">
        <is>
          <t>Garantir que ≥50% do DP realize ≥3 ações internacionais no quadriênio.</t>
        </is>
      </c>
      <c r="R46" s="130" t="inlineStr">
        <is>
          <t>≥50% DP</t>
        </is>
      </c>
      <c r="S46" s="130" t="inlineStr">
        <is>
          <t>Anual</t>
        </is>
      </c>
      <c r="T46" s="130">
        <f>IF(P46&lt;&gt;"",P46,O46)</f>
        <v/>
      </c>
    </row>
    <row r="47">
      <c r="A47" s="130" t="n">
        <v>46</v>
      </c>
      <c r="B47" s="130" t="inlineStr">
        <is>
          <t>IMPACTO</t>
        </is>
      </c>
      <c r="C47" s="130" t="inlineStr">
        <is>
          <t>Estimular a visita internacional para todos os docentes do programa</t>
        </is>
      </c>
      <c r="D47" s="130" t="n">
        <v/>
      </c>
      <c r="E47" s="130" t="inlineStr">
        <is>
          <t>Coordenação do MPEA</t>
        </is>
      </c>
      <c r="F47" s="130" t="n">
        <v/>
      </c>
      <c r="G47" s="130" t="n">
        <v/>
      </c>
      <c r="H47" s="130" t="n">
        <v/>
      </c>
      <c r="I47" s="130" t="n">
        <v/>
      </c>
      <c r="J47" s="130" t="inlineStr">
        <is>
          <t>EM ANDAMENTO</t>
        </is>
      </c>
      <c r="K47" s="130" t="n">
        <v/>
      </c>
      <c r="L47" s="130" t="inlineStr">
        <is>
          <t>OKR4</t>
        </is>
      </c>
      <c r="M47" s="130" t="n">
        <v/>
      </c>
      <c r="N47" s="130" t="inlineStr">
        <is>
          <t>OKR4</t>
        </is>
      </c>
      <c r="O47" s="130" t="inlineStr">
        <is>
          <t>OKR4.KR1</t>
        </is>
      </c>
      <c r="P47" s="130" t="inlineStr"/>
      <c r="Q47" s="130" t="inlineStr">
        <is>
          <t>Garantir que ≥50% do DP realize ≥3 ações internacionais no quadriênio.</t>
        </is>
      </c>
      <c r="R47" s="130" t="inlineStr">
        <is>
          <t>≥50% DP</t>
        </is>
      </c>
      <c r="S47" s="130" t="inlineStr">
        <is>
          <t>Anual</t>
        </is>
      </c>
      <c r="T47" s="130">
        <f>IF(P47&lt;&gt;"",P47,O47)</f>
        <v/>
      </c>
    </row>
    <row r="48">
      <c r="A48" s="130" t="n">
        <v>47</v>
      </c>
      <c r="B48" s="130" t="inlineStr">
        <is>
          <t>IMPACTO</t>
        </is>
      </c>
      <c r="C48" s="130" t="inlineStr">
        <is>
          <t>Ampliar a  Internacionalização dos docentes MPEA</t>
        </is>
      </c>
      <c r="D48" s="130" t="inlineStr">
        <is>
          <t>Fortalecer parcerias internacionais</t>
        </is>
      </c>
      <c r="E48" s="130" t="inlineStr">
        <is>
          <t>Comissão de Credenciamento e Acompanhamento Docente</t>
        </is>
      </c>
      <c r="F48" s="130" t="n">
        <v/>
      </c>
      <c r="G48" s="130" t="n">
        <v/>
      </c>
      <c r="H48" s="130" t="n">
        <v/>
      </c>
      <c r="I48" s="130" t="n">
        <v/>
      </c>
      <c r="J48" s="130" t="inlineStr">
        <is>
          <t>EM ANDAMENTO</t>
        </is>
      </c>
      <c r="K48" s="130" t="n">
        <v/>
      </c>
      <c r="L48" s="130" t="inlineStr">
        <is>
          <t>OKR4</t>
        </is>
      </c>
      <c r="M48" s="130" t="n">
        <v/>
      </c>
      <c r="N48" s="130" t="inlineStr">
        <is>
          <t>OKR4</t>
        </is>
      </c>
      <c r="O48" s="130" t="inlineStr">
        <is>
          <t>OKR4.KR1</t>
        </is>
      </c>
      <c r="P48" s="130" t="inlineStr"/>
      <c r="Q48" s="130" t="inlineStr">
        <is>
          <t>Garantir que ≥50% do DP realize ≥3 ações internacionais no quadriênio.</t>
        </is>
      </c>
      <c r="R48" s="130" t="inlineStr">
        <is>
          <t>≥50% DP</t>
        </is>
      </c>
      <c r="S48" s="130" t="inlineStr">
        <is>
          <t>Anual</t>
        </is>
      </c>
      <c r="T48" s="130">
        <f>IF(P48&lt;&gt;"",P48,O48)</f>
        <v/>
      </c>
    </row>
    <row r="49">
      <c r="A49" s="130" t="n">
        <v>48</v>
      </c>
      <c r="B49" s="130" t="inlineStr">
        <is>
          <t>IMPACTO</t>
        </is>
      </c>
      <c r="C49" s="130" t="inlineStr">
        <is>
          <t xml:space="preserve">Monitorar a visibilidade do programa </t>
        </is>
      </c>
      <c r="D49" s="130" t="inlineStr">
        <is>
          <t>avaliar o impacto da visibilidade do programa</t>
        </is>
      </c>
      <c r="E49" s="130" t="inlineStr">
        <is>
          <t>Comissão de Visibilidade</t>
        </is>
      </c>
      <c r="F49" s="130" t="n">
        <v/>
      </c>
      <c r="G49" s="130" t="n">
        <v/>
      </c>
      <c r="H49" s="130" t="n">
        <v/>
      </c>
      <c r="I49" s="130" t="n">
        <v/>
      </c>
      <c r="J49" s="130" t="inlineStr">
        <is>
          <t>EM ANDAMENTO</t>
        </is>
      </c>
      <c r="K49" s="130" t="n">
        <v/>
      </c>
      <c r="L49" s="130" t="inlineStr">
        <is>
          <t>OKR5</t>
        </is>
      </c>
      <c r="M49" s="130" t="n">
        <v/>
      </c>
      <c r="N49" s="130" t="inlineStr">
        <is>
          <t>OKR5</t>
        </is>
      </c>
      <c r="O49" s="130" t="inlineStr">
        <is>
          <t>OKR5.KR1</t>
        </is>
      </c>
      <c r="P49" s="130" t="inlineStr"/>
      <c r="Q49" s="130" t="inlineStr">
        <is>
          <t>Garantir que ≥60% do DP realize ≥3 ações de inserção regional/nacional no quadriênio.</t>
        </is>
      </c>
      <c r="R49" s="130" t="inlineStr">
        <is>
          <t>≥60% DP</t>
        </is>
      </c>
      <c r="S49" s="130" t="inlineStr">
        <is>
          <t>Anual</t>
        </is>
      </c>
      <c r="T49" s="130">
        <f>IF(P49&lt;&gt;"",P49,O49)</f>
        <v/>
      </c>
    </row>
    <row r="50">
      <c r="A50" s="130" t="n">
        <v>49</v>
      </c>
      <c r="B50" s="130" t="inlineStr">
        <is>
          <t>IMPACTO</t>
        </is>
      </c>
      <c r="C50" s="130" t="inlineStr">
        <is>
          <t xml:space="preserve">Monitorar o impacto do Financiamento </t>
        </is>
      </c>
      <c r="D50" s="130" t="inlineStr">
        <is>
          <t>Internacionalização do docente e aluno; Divulgação e operacionalização de produtos e projetos</t>
        </is>
      </c>
      <c r="E50" s="130" t="inlineStr">
        <is>
          <t>Coordenação do MPEA</t>
        </is>
      </c>
      <c r="F50" s="130" t="n">
        <v/>
      </c>
      <c r="G50" s="130" t="n">
        <v/>
      </c>
      <c r="H50" s="130" t="n">
        <v/>
      </c>
      <c r="I50" s="130" t="n">
        <v/>
      </c>
      <c r="J50" s="130" t="inlineStr">
        <is>
          <t>EM ANDAMENTO</t>
        </is>
      </c>
      <c r="K50" s="130" t="n">
        <v/>
      </c>
      <c r="L50" s="130" t="inlineStr">
        <is>
          <t>OKR4</t>
        </is>
      </c>
      <c r="M50" s="130" t="n">
        <v/>
      </c>
      <c r="N50" s="130" t="inlineStr">
        <is>
          <t>OKR4</t>
        </is>
      </c>
      <c r="O50" s="130" t="inlineStr">
        <is>
          <t>OKR4.KR1</t>
        </is>
      </c>
      <c r="P50" s="130" t="inlineStr"/>
      <c r="Q50" s="130" t="inlineStr">
        <is>
          <t>Garantir que ≥50% do DP realize ≥3 ações internacionais no quadriênio.</t>
        </is>
      </c>
      <c r="R50" s="130" t="inlineStr">
        <is>
          <t>≥50% DP</t>
        </is>
      </c>
      <c r="S50" s="130" t="inlineStr">
        <is>
          <t>Anual</t>
        </is>
      </c>
      <c r="T50" s="130">
        <f>IF(P50&lt;&gt;"",P50,O50)</f>
        <v/>
      </c>
    </row>
    <row r="51">
      <c r="A51" s="130" t="n">
        <v>50</v>
      </c>
      <c r="B51" s="130" t="inlineStr">
        <is>
          <t>IMPACTO</t>
        </is>
      </c>
      <c r="C51" s="130" t="inlineStr">
        <is>
          <t>Avaliar o impacto dos programas de articulação com ensino técnico....</t>
        </is>
      </c>
      <c r="D51" s="130" t="inlineStr">
        <is>
          <t>Políticas para melhoria da saúde na  ensino técnico</t>
        </is>
      </c>
      <c r="E51" s="130" t="inlineStr">
        <is>
          <t>Coordenação do MPEA</t>
        </is>
      </c>
      <c r="F51" s="130" t="n">
        <v/>
      </c>
      <c r="G51" s="130" t="n">
        <v/>
      </c>
      <c r="H51" s="130" t="n">
        <v/>
      </c>
      <c r="I51" s="130" t="n">
        <v/>
      </c>
      <c r="J51" s="130" t="inlineStr">
        <is>
          <t>EM ANDAMENTO</t>
        </is>
      </c>
      <c r="K51" s="130" t="n">
        <v/>
      </c>
      <c r="L51" s="130" t="inlineStr">
        <is>
          <t>OKR3</t>
        </is>
      </c>
      <c r="M51" s="130" t="n">
        <v/>
      </c>
      <c r="N51" s="130" t="inlineStr">
        <is>
          <t>OKR3</t>
        </is>
      </c>
      <c r="O51" s="130" t="inlineStr">
        <is>
          <t>OKR3.KR1</t>
        </is>
      </c>
      <c r="P51" s="130" t="inlineStr"/>
      <c r="Q51" s="130" t="inlineStr">
        <is>
          <t>Construir e documentar 3 casos de impacto com evidências (adoção/efeitos externos) no quadriênio, com participação discente.</t>
        </is>
      </c>
      <c r="R51" s="130" t="inlineStr">
        <is>
          <t>≥3 casos</t>
        </is>
      </c>
      <c r="S51" s="130" t="inlineStr">
        <is>
          <t>Semestral</t>
        </is>
      </c>
      <c r="T51" s="130">
        <f>IF(P51&lt;&gt;"",P51,O51)</f>
        <v/>
      </c>
    </row>
    <row r="52">
      <c r="A52" s="130" t="n">
        <v>51</v>
      </c>
      <c r="B52" s="130" t="inlineStr">
        <is>
          <t>IMPACTO</t>
        </is>
      </c>
      <c r="C52" s="130" t="inlineStr">
        <is>
          <t>Melhorar o índice de docentes atuantes na atenção primária</t>
        </is>
      </c>
      <c r="D52" s="130" t="n">
        <v/>
      </c>
      <c r="E52" s="130" t="inlineStr">
        <is>
          <t>Comissão de Credenciamento e Acompanhamento Docente</t>
        </is>
      </c>
      <c r="F52" s="130" t="n">
        <v/>
      </c>
      <c r="G52" s="130" t="n">
        <v/>
      </c>
      <c r="H52" s="130" t="n">
        <v/>
      </c>
      <c r="I52" s="130" t="n">
        <v/>
      </c>
      <c r="J52" s="130" t="n">
        <v/>
      </c>
      <c r="K52" s="130" t="n">
        <v/>
      </c>
      <c r="L52" s="130" t="inlineStr">
        <is>
          <t>OKR3</t>
        </is>
      </c>
      <c r="M52" s="130" t="n">
        <v/>
      </c>
      <c r="N52" s="130" t="inlineStr">
        <is>
          <t>OKR3</t>
        </is>
      </c>
      <c r="O52" s="130" t="inlineStr">
        <is>
          <t>OKR3.KR1</t>
        </is>
      </c>
      <c r="P52" s="130" t="inlineStr"/>
      <c r="Q52" s="130" t="inlineStr">
        <is>
          <t>Construir e documentar 3 casos de impacto com evidências (adoção/efeitos externos) no quadriênio, com participação discente.</t>
        </is>
      </c>
      <c r="R52" s="130" t="inlineStr">
        <is>
          <t>≥3 casos</t>
        </is>
      </c>
      <c r="S52" s="130" t="inlineStr">
        <is>
          <t>Semestral</t>
        </is>
      </c>
      <c r="T52" s="130">
        <f>IF(P52&lt;&gt;"",P52,O52)</f>
        <v/>
      </c>
    </row>
    <row r="53">
      <c r="A53" s="130" t="n">
        <v>52</v>
      </c>
      <c r="B53" s="130" t="inlineStr">
        <is>
          <t>IMPACTO</t>
        </is>
      </c>
      <c r="C53" s="130" t="inlineStr">
        <is>
          <t>Monitorar o impacto das 5 melhores dissertações e das 5 melhores produções técnicas escolhidas pelo programa</t>
        </is>
      </c>
      <c r="D53" s="130" t="inlineStr">
        <is>
          <t>Atender aos critérios da CAPES</t>
        </is>
      </c>
      <c r="E53" s="130" t="inlineStr">
        <is>
          <t>Comissão de Acompanhamento de Egressos</t>
        </is>
      </c>
      <c r="F53" s="130" t="n">
        <v/>
      </c>
      <c r="G53" s="130" t="n">
        <v/>
      </c>
      <c r="H53" s="130" t="n">
        <v/>
      </c>
      <c r="I53" s="130" t="n">
        <v/>
      </c>
      <c r="J53" s="130" t="inlineStr">
        <is>
          <t>EM ANDAMENTO</t>
        </is>
      </c>
      <c r="K53" s="130" t="n">
        <v/>
      </c>
      <c r="L53" s="130" t="inlineStr">
        <is>
          <t>OKR3</t>
        </is>
      </c>
      <c r="M53" s="130" t="n">
        <v/>
      </c>
      <c r="N53" s="130" t="inlineStr">
        <is>
          <t>OKR3</t>
        </is>
      </c>
      <c r="O53" s="130" t="inlineStr">
        <is>
          <t>OKR3.KR1</t>
        </is>
      </c>
      <c r="P53" s="130" t="inlineStr"/>
      <c r="Q53" s="130" t="inlineStr">
        <is>
          <t>Construir e documentar 3 casos de impacto com evidências (adoção/efeitos externos) no quadriênio, com participação discente.</t>
        </is>
      </c>
      <c r="R53" s="130" t="inlineStr">
        <is>
          <t>≥3 casos</t>
        </is>
      </c>
      <c r="S53" s="130" t="inlineStr">
        <is>
          <t>Semestral</t>
        </is>
      </c>
      <c r="T53" s="130">
        <f>IF(P53&lt;&gt;"",P53,O53)</f>
        <v/>
      </c>
    </row>
    <row r="54">
      <c r="A54" s="130" t="n">
        <v>53</v>
      </c>
      <c r="B54" s="130" t="inlineStr">
        <is>
          <t>IMPACTO</t>
        </is>
      </c>
      <c r="C54" s="130" t="inlineStr">
        <is>
          <t>Avaliar o impacto  social das dissertações</t>
        </is>
      </c>
      <c r="D54" s="130" t="inlineStr">
        <is>
          <t>Impacto social</t>
        </is>
      </c>
      <c r="E54" s="130" t="inlineStr">
        <is>
          <t>Comissão de Acompanhamento de Egressos</t>
        </is>
      </c>
      <c r="F54" s="130" t="n">
        <v/>
      </c>
      <c r="G54" s="130" t="n">
        <v/>
      </c>
      <c r="H54" s="130" t="n">
        <v/>
      </c>
      <c r="I54" s="130" t="n">
        <v/>
      </c>
      <c r="J54" s="130" t="inlineStr">
        <is>
          <t>EM ANDAMENTO</t>
        </is>
      </c>
      <c r="K54" s="130" t="n">
        <v/>
      </c>
      <c r="L54" s="130" t="inlineStr">
        <is>
          <t>OKR3</t>
        </is>
      </c>
      <c r="M54" s="130" t="n">
        <v/>
      </c>
      <c r="N54" s="130" t="inlineStr">
        <is>
          <t>OKR3</t>
        </is>
      </c>
      <c r="O54" s="130" t="inlineStr">
        <is>
          <t>OKR3.KR1</t>
        </is>
      </c>
      <c r="P54" s="130" t="inlineStr"/>
      <c r="Q54" s="130" t="inlineStr">
        <is>
          <t>Construir e documentar 3 casos de impacto com evidências (adoção/efeitos externos) no quadriênio, com participação discente.</t>
        </is>
      </c>
      <c r="R54" s="130" t="inlineStr">
        <is>
          <t>≥3 casos</t>
        </is>
      </c>
      <c r="S54" s="130" t="inlineStr">
        <is>
          <t>Semestral</t>
        </is>
      </c>
      <c r="T54" s="130">
        <f>IF(P54&lt;&gt;"",P54,O54)</f>
        <v/>
      </c>
    </row>
    <row r="55">
      <c r="A55" s="130" t="n">
        <v>54</v>
      </c>
      <c r="B55" s="130" t="inlineStr">
        <is>
          <t>IMPACTO</t>
        </is>
      </c>
      <c r="C55" s="130" t="inlineStr">
        <is>
          <t>Avaliar o impacto da transferência  dos conhecimentos na sociedade</t>
        </is>
      </c>
      <c r="D55" s="130" t="inlineStr">
        <is>
          <t>Adotar a metodologia do implementation science</t>
        </is>
      </c>
      <c r="E55" s="130" t="inlineStr">
        <is>
          <t>Comissão de Acompanhamento de Egressos</t>
        </is>
      </c>
      <c r="F55" s="130" t="n">
        <v/>
      </c>
      <c r="G55" s="130" t="n">
        <v/>
      </c>
      <c r="H55" s="130" t="n">
        <v/>
      </c>
      <c r="I55" s="130" t="n">
        <v/>
      </c>
      <c r="J55" s="130" t="inlineStr">
        <is>
          <t>EM ANDAMENTO</t>
        </is>
      </c>
      <c r="K55" s="130" t="n">
        <v/>
      </c>
      <c r="L55" s="130" t="inlineStr">
        <is>
          <t>OKR5</t>
        </is>
      </c>
      <c r="M55" s="130" t="n">
        <v/>
      </c>
      <c r="N55" s="130" t="inlineStr">
        <is>
          <t>OKR5</t>
        </is>
      </c>
      <c r="O55" s="130" t="inlineStr">
        <is>
          <t>OKR5.KR1</t>
        </is>
      </c>
      <c r="P55" s="130" t="inlineStr"/>
      <c r="Q55" s="130" t="inlineStr">
        <is>
          <t>Garantir que ≥60% do DP realize ≥3 ações de inserção regional/nacional no quadriênio.</t>
        </is>
      </c>
      <c r="R55" s="130" t="inlineStr">
        <is>
          <t>≥60% DP</t>
        </is>
      </c>
      <c r="S55" s="130" t="inlineStr">
        <is>
          <t>Anual</t>
        </is>
      </c>
      <c r="T55" s="130">
        <f>IF(P55&lt;&gt;"",P55,O55)</f>
        <v/>
      </c>
    </row>
    <row r="56">
      <c r="A56" s="130" t="n">
        <v>55</v>
      </c>
      <c r="B56" s="130" t="inlineStr">
        <is>
          <t>IMPACTO</t>
        </is>
      </c>
      <c r="C56" s="130" t="inlineStr">
        <is>
          <t>Impacto da internacionalização do docente</t>
        </is>
      </c>
      <c r="D56" s="130" t="inlineStr">
        <is>
          <t>Avaliar ações de internacionalização dos docentes</t>
        </is>
      </c>
      <c r="E56" s="130" t="inlineStr">
        <is>
          <t>Comissão de Credenciamento e Acompanhamento Docente</t>
        </is>
      </c>
      <c r="F56" s="130" t="n">
        <v/>
      </c>
      <c r="G56" s="130" t="n">
        <v/>
      </c>
      <c r="H56" s="130" t="n">
        <v/>
      </c>
      <c r="I56" s="130" t="n">
        <v/>
      </c>
      <c r="J56" s="130" t="inlineStr">
        <is>
          <t>EM ANDAMENTO</t>
        </is>
      </c>
      <c r="K56" s="130" t="n">
        <v/>
      </c>
      <c r="L56" s="130" t="inlineStr">
        <is>
          <t>OKR4</t>
        </is>
      </c>
      <c r="M56" s="130" t="n">
        <v/>
      </c>
      <c r="N56" s="130" t="inlineStr">
        <is>
          <t>OKR4</t>
        </is>
      </c>
      <c r="O56" s="130" t="inlineStr">
        <is>
          <t>OKR4.KR1</t>
        </is>
      </c>
      <c r="P56" s="130" t="inlineStr"/>
      <c r="Q56" s="130" t="inlineStr">
        <is>
          <t>Garantir que ≥50% do DP realize ≥3 ações internacionais no quadriênio.</t>
        </is>
      </c>
      <c r="R56" s="130" t="inlineStr">
        <is>
          <t>≥50% DP</t>
        </is>
      </c>
      <c r="S56" s="130" t="inlineStr">
        <is>
          <t>Anual</t>
        </is>
      </c>
      <c r="T56" s="130">
        <f>IF(P56&lt;&gt;"",P56,O56)</f>
        <v/>
      </c>
    </row>
    <row r="57">
      <c r="A57" s="130" t="n">
        <v>56</v>
      </c>
      <c r="B57" s="130" t="inlineStr">
        <is>
          <t>IMPACTO</t>
        </is>
      </c>
      <c r="C57" s="130" t="inlineStr">
        <is>
          <t>Participação dos docentes e discentes em eventos internacionais</t>
        </is>
      </c>
      <c r="D57" s="130" t="n">
        <v/>
      </c>
      <c r="E57" s="130" t="inlineStr">
        <is>
          <t>Comissão de Visibilidade</t>
        </is>
      </c>
      <c r="F57" s="130" t="n">
        <v/>
      </c>
      <c r="G57" s="130" t="n">
        <v/>
      </c>
      <c r="H57" s="130" t="n">
        <v/>
      </c>
      <c r="I57" s="130" t="n">
        <v/>
      </c>
      <c r="J57" s="130" t="inlineStr">
        <is>
          <t>EM ANDAMENTO</t>
        </is>
      </c>
      <c r="K57" s="130" t="n">
        <v/>
      </c>
      <c r="L57" s="130" t="inlineStr">
        <is>
          <t>OKR4</t>
        </is>
      </c>
      <c r="M57" s="130" t="n">
        <v/>
      </c>
      <c r="N57" s="130" t="inlineStr">
        <is>
          <t>OKR4</t>
        </is>
      </c>
      <c r="O57" s="130" t="inlineStr">
        <is>
          <t>OKR4.KR1</t>
        </is>
      </c>
      <c r="P57" s="130" t="inlineStr"/>
      <c r="Q57" s="130" t="inlineStr">
        <is>
          <t>Garantir que ≥50% do DP realize ≥3 ações internacionais no quadriênio.</t>
        </is>
      </c>
      <c r="R57" s="130" t="inlineStr">
        <is>
          <t>≥50% DP</t>
        </is>
      </c>
      <c r="S57" s="130" t="inlineStr">
        <is>
          <t>Anual</t>
        </is>
      </c>
      <c r="T57" s="130">
        <f>IF(P57&lt;&gt;"",P57,O57)</f>
        <v/>
      </c>
    </row>
    <row r="58">
      <c r="A58" s="130" t="n">
        <v>57</v>
      </c>
      <c r="B58" s="130" t="inlineStr">
        <is>
          <t>IMPACTO</t>
        </is>
      </c>
      <c r="C58" s="130" t="inlineStr">
        <is>
          <t>Publicação dos produtos em outros idiomas</t>
        </is>
      </c>
      <c r="D58" s="130" t="n">
        <v/>
      </c>
      <c r="E58" s="130" t="inlineStr">
        <is>
          <t>Comissão de Acompanhamento Discente</t>
        </is>
      </c>
      <c r="F58" s="130" t="n">
        <v/>
      </c>
      <c r="G58" s="130" t="n">
        <v/>
      </c>
      <c r="H58" s="130" t="n">
        <v/>
      </c>
      <c r="I58" s="130" t="n">
        <v/>
      </c>
      <c r="J58" s="130" t="inlineStr">
        <is>
          <t>EM ANDAMENTO</t>
        </is>
      </c>
      <c r="K58" s="130" t="n">
        <v/>
      </c>
      <c r="L58" s="130" t="inlineStr">
        <is>
          <t>OKR3</t>
        </is>
      </c>
      <c r="M58" s="130" t="n">
        <v/>
      </c>
      <c r="N58" s="130" t="inlineStr">
        <is>
          <t>OKR3</t>
        </is>
      </c>
      <c r="O58" s="130" t="inlineStr">
        <is>
          <t>OKR3.KR1</t>
        </is>
      </c>
      <c r="P58" s="130" t="inlineStr"/>
      <c r="Q58" s="130" t="inlineStr">
        <is>
          <t>Construir e documentar 3 casos de impacto com evidências (adoção/efeitos externos) no quadriênio, com participação discente.</t>
        </is>
      </c>
      <c r="R58" s="130" t="inlineStr">
        <is>
          <t>≥3 casos</t>
        </is>
      </c>
      <c r="S58" s="130" t="inlineStr">
        <is>
          <t>Semestral</t>
        </is>
      </c>
      <c r="T58" s="130">
        <f>IF(P58&lt;&gt;"",P58,O58)</f>
        <v/>
      </c>
    </row>
    <row r="59">
      <c r="A59" s="130" t="n">
        <v>58</v>
      </c>
      <c r="B59" s="130" t="inlineStr">
        <is>
          <t>IMPACTO</t>
        </is>
      </c>
      <c r="C59" s="130" t="inlineStr">
        <is>
          <t>Implementar os produtos e processos das teses e dissertações</t>
        </is>
      </c>
      <c r="D59" s="130" t="n">
        <v/>
      </c>
      <c r="E59" s="130" t="inlineStr">
        <is>
          <t>Comissão de Acompanhamento Discente</t>
        </is>
      </c>
      <c r="F59" s="130" t="n">
        <v/>
      </c>
      <c r="G59" s="130" t="n">
        <v/>
      </c>
      <c r="H59" s="130" t="n">
        <v/>
      </c>
      <c r="I59" s="130" t="n">
        <v/>
      </c>
      <c r="J59" s="130" t="inlineStr">
        <is>
          <t>EM ANDAMENTO</t>
        </is>
      </c>
      <c r="K59" s="130" t="n">
        <v/>
      </c>
      <c r="L59" s="130" t="inlineStr">
        <is>
          <t>OKR3</t>
        </is>
      </c>
      <c r="M59" s="130" t="n">
        <v/>
      </c>
      <c r="N59" s="130" t="inlineStr">
        <is>
          <t>OKR3</t>
        </is>
      </c>
      <c r="O59" s="130" t="inlineStr">
        <is>
          <t>OKR3.KR1</t>
        </is>
      </c>
      <c r="P59" s="130" t="inlineStr"/>
      <c r="Q59" s="130" t="inlineStr">
        <is>
          <t>Construir e documentar 3 casos de impacto com evidências (adoção/efeitos externos) no quadriênio, com participação discente.</t>
        </is>
      </c>
      <c r="R59" s="130" t="inlineStr">
        <is>
          <t>≥3 casos</t>
        </is>
      </c>
      <c r="S59" s="130" t="inlineStr">
        <is>
          <t>Semestral</t>
        </is>
      </c>
      <c r="T59" s="130">
        <f>IF(P59&lt;&gt;"",P59,O59)</f>
        <v/>
      </c>
    </row>
    <row r="60">
      <c r="A60" s="130" t="n">
        <v>59</v>
      </c>
      <c r="B60" s="130" t="inlineStr">
        <is>
          <t>IMPACTO</t>
        </is>
      </c>
      <c r="C60" s="130" t="inlineStr">
        <is>
          <t>Incentivar publicação do docente com o egresso</t>
        </is>
      </c>
      <c r="D60" s="130" t="n">
        <v/>
      </c>
      <c r="E60" s="130" t="inlineStr">
        <is>
          <t>Comissão de Acompanhamento Discente</t>
        </is>
      </c>
      <c r="F60" s="130" t="n">
        <v/>
      </c>
      <c r="G60" s="130" t="n">
        <v/>
      </c>
      <c r="H60" s="130" t="n">
        <v/>
      </c>
      <c r="I60" s="130" t="n">
        <v/>
      </c>
      <c r="J60" s="130" t="inlineStr">
        <is>
          <t>EM ANDAMENTO</t>
        </is>
      </c>
      <c r="K60" s="130" t="n">
        <v/>
      </c>
      <c r="L60" s="130" t="inlineStr">
        <is>
          <t>OKR3</t>
        </is>
      </c>
      <c r="M60" s="130" t="n">
        <v/>
      </c>
      <c r="N60" s="130" t="inlineStr">
        <is>
          <t>OKR3</t>
        </is>
      </c>
      <c r="O60" s="130" t="inlineStr">
        <is>
          <t>OKR3.KR1</t>
        </is>
      </c>
      <c r="P60" s="130" t="inlineStr"/>
      <c r="Q60" s="130" t="inlineStr">
        <is>
          <t>Construir e documentar 3 casos de impacto com evidências (adoção/efeitos externos) no quadriênio, com participação discente.</t>
        </is>
      </c>
      <c r="R60" s="130" t="inlineStr">
        <is>
          <t>≥3 casos</t>
        </is>
      </c>
      <c r="S60" s="130" t="inlineStr">
        <is>
          <t>Semestral</t>
        </is>
      </c>
      <c r="T60" s="130">
        <f>IF(P60&lt;&gt;"",P60,O60)</f>
        <v/>
      </c>
    </row>
    <row r="61">
      <c r="A61" s="130" t="n">
        <v>60</v>
      </c>
      <c r="B61" s="130" t="inlineStr">
        <is>
          <t>IMPACTO</t>
        </is>
      </c>
      <c r="C61" s="130" t="inlineStr">
        <is>
          <t>Elaboração de produtos que possam ter escopo ampliado</t>
        </is>
      </c>
      <c r="D61" s="130" t="n">
        <v/>
      </c>
      <c r="E61" s="130" t="inlineStr">
        <is>
          <t>Comissão de Acompanhamento Discente</t>
        </is>
      </c>
      <c r="F61" s="130" t="n">
        <v/>
      </c>
      <c r="G61" s="130" t="n">
        <v/>
      </c>
      <c r="H61" s="130" t="n">
        <v/>
      </c>
      <c r="I61" s="130" t="n">
        <v/>
      </c>
      <c r="J61" s="130" t="inlineStr">
        <is>
          <t>EM ANDAMENTO</t>
        </is>
      </c>
      <c r="K61" s="130" t="n">
        <v/>
      </c>
      <c r="L61" s="130" t="inlineStr">
        <is>
          <t>OKR3</t>
        </is>
      </c>
      <c r="M61" s="130" t="n">
        <v/>
      </c>
      <c r="N61" s="130" t="inlineStr">
        <is>
          <t>OKR3</t>
        </is>
      </c>
      <c r="O61" s="130" t="inlineStr">
        <is>
          <t>OKR3.KR1</t>
        </is>
      </c>
      <c r="P61" s="130" t="inlineStr"/>
      <c r="Q61" s="130" t="inlineStr">
        <is>
          <t>Construir e documentar 3 casos de impacto com evidências (adoção/efeitos externos) no quadriênio, com participação discente.</t>
        </is>
      </c>
      <c r="R61" s="130" t="inlineStr">
        <is>
          <t>≥3 casos</t>
        </is>
      </c>
      <c r="S61" s="130" t="inlineStr">
        <is>
          <t>Semestral</t>
        </is>
      </c>
      <c r="T61" s="130">
        <f>IF(P61&lt;&gt;"",P61,O61)</f>
        <v/>
      </c>
    </row>
    <row r="62">
      <c r="A62" s="130" t="n">
        <v>61</v>
      </c>
      <c r="B62" s="130" t="inlineStr">
        <is>
          <t>IMPACTO</t>
        </is>
      </c>
      <c r="C62" s="130" t="inlineStr">
        <is>
          <t>Estímulo a implementação dos produtos desenvolvidos</t>
        </is>
      </c>
      <c r="D62" s="130" t="n">
        <v/>
      </c>
      <c r="E62" s="130" t="inlineStr">
        <is>
          <t>Comissão de Acompanhamento Discente</t>
        </is>
      </c>
      <c r="F62" s="130" t="n">
        <v/>
      </c>
      <c r="G62" s="130" t="n">
        <v/>
      </c>
      <c r="H62" s="130" t="n">
        <v/>
      </c>
      <c r="I62" s="130" t="n">
        <v/>
      </c>
      <c r="J62" s="130" t="inlineStr">
        <is>
          <t>PENDENTE</t>
        </is>
      </c>
      <c r="K62" s="130" t="n">
        <v/>
      </c>
      <c r="L62" s="130" t="inlineStr">
        <is>
          <t>OKR3</t>
        </is>
      </c>
      <c r="M62" s="130" t="n">
        <v/>
      </c>
      <c r="N62" s="130" t="inlineStr">
        <is>
          <t>OKR3</t>
        </is>
      </c>
      <c r="O62" s="130" t="inlineStr">
        <is>
          <t>OKR3.KR1</t>
        </is>
      </c>
      <c r="P62" s="130" t="inlineStr"/>
      <c r="Q62" s="130" t="inlineStr">
        <is>
          <t>Construir e documentar 3 casos de impacto com evidências (adoção/efeitos externos) no quadriênio, com participação discente.</t>
        </is>
      </c>
      <c r="R62" s="130" t="inlineStr">
        <is>
          <t>≥3 casos</t>
        </is>
      </c>
      <c r="S62" s="130" t="inlineStr">
        <is>
          <t>Semestral</t>
        </is>
      </c>
      <c r="T62" s="130">
        <f>IF(P62&lt;&gt;"",P62,O62)</f>
        <v/>
      </c>
    </row>
    <row r="63">
      <c r="A63" s="130" t="n">
        <v>62</v>
      </c>
      <c r="B63" s="130" t="inlineStr">
        <is>
          <t>IMPACTO</t>
        </is>
      </c>
      <c r="C63" s="130" t="inlineStr">
        <is>
          <t>Estimular o desenvolvimento de produtos com identidade profissional e inserção social</t>
        </is>
      </c>
      <c r="D63" s="130" t="n">
        <v/>
      </c>
      <c r="E63" s="130" t="inlineStr">
        <is>
          <t>Comissão de Acompanhamento Discente</t>
        </is>
      </c>
      <c r="F63" s="130" t="n">
        <v/>
      </c>
      <c r="G63" s="130" t="n">
        <v/>
      </c>
      <c r="H63" s="130" t="n">
        <v/>
      </c>
      <c r="I63" s="130" t="n">
        <v/>
      </c>
      <c r="J63" s="130" t="inlineStr">
        <is>
          <t>EM ANDAMENTO</t>
        </is>
      </c>
      <c r="K63" s="130" t="n">
        <v/>
      </c>
      <c r="L63" s="130" t="inlineStr">
        <is>
          <t>OKR5</t>
        </is>
      </c>
      <c r="M63" s="130" t="n">
        <v/>
      </c>
      <c r="N63" s="130" t="inlineStr">
        <is>
          <t>OKR5</t>
        </is>
      </c>
      <c r="O63" s="130" t="inlineStr">
        <is>
          <t>OKR5.KR1</t>
        </is>
      </c>
      <c r="P63" s="130" t="inlineStr"/>
      <c r="Q63" s="130" t="inlineStr">
        <is>
          <t>Garantir que ≥60% do DP realize ≥3 ações de inserção regional/nacional no quadriênio.</t>
        </is>
      </c>
      <c r="R63" s="130" t="inlineStr">
        <is>
          <t>≥60% DP</t>
        </is>
      </c>
      <c r="S63" s="130" t="inlineStr">
        <is>
          <t>Anual</t>
        </is>
      </c>
      <c r="T63" s="130">
        <f>IF(P63&lt;&gt;"",P63,O63)</f>
        <v/>
      </c>
    </row>
    <row r="64">
      <c r="A64" s="130" t="n">
        <v>63</v>
      </c>
      <c r="B64" s="130" t="inlineStr">
        <is>
          <t>IMPACTO</t>
        </is>
      </c>
      <c r="C64" s="130" t="inlineStr">
        <is>
          <t>Estimular a submissão de projetos para editais relacionados a políticas inclusivas de ações na educação técnica ou básica associado a disciplina de estágio a docência</t>
        </is>
      </c>
      <c r="D64" s="130" t="n">
        <v/>
      </c>
      <c r="E64" s="130" t="inlineStr">
        <is>
          <t>Comissão de Credenciamento e Acompanhamento Docente</t>
        </is>
      </c>
      <c r="F64" s="130" t="n">
        <v/>
      </c>
      <c r="G64" s="130" t="n">
        <v/>
      </c>
      <c r="H64" s="130" t="n">
        <v/>
      </c>
      <c r="I64" s="130" t="n">
        <v/>
      </c>
      <c r="J64" s="130" t="inlineStr">
        <is>
          <t>EM ANDAMENTO</t>
        </is>
      </c>
      <c r="K64" s="130" t="n">
        <v/>
      </c>
      <c r="L64" s="130" t="inlineStr">
        <is>
          <t>OKR3</t>
        </is>
      </c>
      <c r="M64" s="130" t="n">
        <v/>
      </c>
      <c r="N64" s="130" t="inlineStr">
        <is>
          <t>OKR3</t>
        </is>
      </c>
      <c r="O64" s="130" t="inlineStr">
        <is>
          <t>OKR3.KR2</t>
        </is>
      </c>
      <c r="P64" s="130" t="inlineStr"/>
      <c r="Q64" s="130" t="inlineStr">
        <is>
          <t>Indicar e acompanhar 5 projetos com alto potencial de inovação (social, gestão, educação, tecnologia) para evidências no relatório.</t>
        </is>
      </c>
      <c r="R64" s="130" t="inlineStr">
        <is>
          <t>≥5 projetos</t>
        </is>
      </c>
      <c r="S64" s="130" t="inlineStr">
        <is>
          <t>Anual</t>
        </is>
      </c>
      <c r="T64" s="130">
        <f>IF(P64&lt;&gt;"",P64,O64)</f>
        <v/>
      </c>
    </row>
    <row r="65">
      <c r="A65" s="130" t="n">
        <v>64</v>
      </c>
      <c r="B65" s="130" t="inlineStr">
        <is>
          <t>IMPACTO</t>
        </is>
      </c>
      <c r="C65" s="130" t="inlineStr">
        <is>
          <t>Incentivar o corpo docente da Universidade fora de sede para montar o programa próprio</t>
        </is>
      </c>
      <c r="D65" s="130" t="n">
        <v/>
      </c>
      <c r="E65" s="130" t="inlineStr">
        <is>
          <t>Comissão de Credenciamento e Acompanhamento Docente</t>
        </is>
      </c>
      <c r="F65" s="130" t="n">
        <v/>
      </c>
      <c r="G65" s="130" t="n">
        <v/>
      </c>
      <c r="H65" s="130" t="n">
        <v/>
      </c>
      <c r="I65" s="130" t="n">
        <v/>
      </c>
      <c r="J65" s="130" t="inlineStr">
        <is>
          <t>EM ANDAMENTO</t>
        </is>
      </c>
      <c r="K65" s="130" t="n">
        <v/>
      </c>
      <c r="L65" s="130" t="inlineStr">
        <is>
          <t>OKR3</t>
        </is>
      </c>
      <c r="M65" s="130" t="n">
        <v/>
      </c>
      <c r="N65" s="130" t="inlineStr">
        <is>
          <t>OKR3</t>
        </is>
      </c>
      <c r="O65" s="130" t="inlineStr">
        <is>
          <t>OKR3.KR1</t>
        </is>
      </c>
      <c r="P65" s="130" t="inlineStr"/>
      <c r="Q65" s="130" t="inlineStr">
        <is>
          <t>Construir e documentar 3 casos de impacto com evidências (adoção/efeitos externos) no quadriênio, com participação discente.</t>
        </is>
      </c>
      <c r="R65" s="130" t="inlineStr">
        <is>
          <t>≥3 casos</t>
        </is>
      </c>
      <c r="S65" s="130" t="inlineStr">
        <is>
          <t>Semestral</t>
        </is>
      </c>
      <c r="T65" s="130">
        <f>IF(P65&lt;&gt;"",P65,O65)</f>
        <v/>
      </c>
    </row>
    <row r="66">
      <c r="A66" s="130" t="n">
        <v>65</v>
      </c>
      <c r="B66" s="130" t="inlineStr">
        <is>
          <t>IMPACTO</t>
        </is>
      </c>
      <c r="C66" s="130" t="inlineStr">
        <is>
          <t>Criar repositório/site de produtos técnicos do MPEA</t>
        </is>
      </c>
      <c r="D66" s="130" t="n">
        <v/>
      </c>
      <c r="E66" s="130" t="inlineStr">
        <is>
          <t>Comissão de Acompanhamento Discente</t>
        </is>
      </c>
      <c r="F66" s="130" t="n">
        <v/>
      </c>
      <c r="G66" s="130" t="n">
        <v/>
      </c>
      <c r="H66" s="130" t="n">
        <v/>
      </c>
      <c r="I66" s="130" t="n">
        <v/>
      </c>
      <c r="J66" s="130" t="inlineStr">
        <is>
          <t>EM ANDAMENTO</t>
        </is>
      </c>
      <c r="K66" s="130" t="n">
        <v/>
      </c>
      <c r="L66" s="130" t="inlineStr">
        <is>
          <t>OKR5</t>
        </is>
      </c>
      <c r="M66" s="130" t="n">
        <v/>
      </c>
      <c r="N66" s="130" t="inlineStr">
        <is>
          <t>OKR5</t>
        </is>
      </c>
      <c r="O66" s="130" t="inlineStr">
        <is>
          <t>OKR5.KR2</t>
        </is>
      </c>
      <c r="P66" s="130" t="inlineStr"/>
      <c r="Q66" s="130" t="inlineStr">
        <is>
          <t>Implantar plano de comunicação científica e atualizar página do PPG (PT/EN/ES) com dados exigidos.</t>
        </is>
      </c>
      <c r="R66" s="130" t="inlineStr">
        <is>
          <t>Página atualizada + bilíngue/trilíngue</t>
        </is>
      </c>
      <c r="S66" s="130" t="inlineStr">
        <is>
          <t>Trimestral</t>
        </is>
      </c>
      <c r="T66" s="130">
        <f>IF(P66&lt;&gt;"",P66,O66)</f>
        <v/>
      </c>
    </row>
    <row r="67">
      <c r="A67" s="130" t="n">
        <v>66</v>
      </c>
      <c r="B67" s="130" t="inlineStr">
        <is>
          <t>IMPACTO</t>
        </is>
      </c>
      <c r="C67" s="130" t="inlineStr">
        <is>
          <t>Buscar fomentos em diversas instâncias nacionais e internacionais, governamentais e não governamentais</t>
        </is>
      </c>
      <c r="D67" s="130" t="n">
        <v/>
      </c>
      <c r="E67" s="130" t="inlineStr">
        <is>
          <t>Coordenação do MPEA</t>
        </is>
      </c>
      <c r="F67" s="130" t="n">
        <v/>
      </c>
      <c r="G67" s="130" t="n">
        <v/>
      </c>
      <c r="H67" s="130" t="n">
        <v/>
      </c>
      <c r="I67" s="130" t="n">
        <v/>
      </c>
      <c r="J67" s="130" t="inlineStr">
        <is>
          <t>EM ANDAMENTO</t>
        </is>
      </c>
      <c r="K67" s="130" t="n">
        <v/>
      </c>
      <c r="L67" s="130" t="inlineStr">
        <is>
          <t>OKR4</t>
        </is>
      </c>
      <c r="M67" s="130" t="n">
        <v/>
      </c>
      <c r="N67" s="130" t="inlineStr">
        <is>
          <t>OKR4</t>
        </is>
      </c>
      <c r="O67" s="130" t="inlineStr">
        <is>
          <t>OKR4.KR1</t>
        </is>
      </c>
      <c r="P67" s="130" t="inlineStr"/>
      <c r="Q67" s="130" t="inlineStr">
        <is>
          <t>Garantir que ≥50% do DP realize ≥3 ações internacionais no quadriênio.</t>
        </is>
      </c>
      <c r="R67" s="130" t="inlineStr">
        <is>
          <t>≥50% DP</t>
        </is>
      </c>
      <c r="S67" s="130" t="inlineStr">
        <is>
          <t>Anual</t>
        </is>
      </c>
      <c r="T67" s="130">
        <f>IF(P67&lt;&gt;"",P67,O67)</f>
        <v/>
      </c>
    </row>
    <row r="68">
      <c r="A68" s="130" t="n">
        <v>67</v>
      </c>
      <c r="B68" s="130" t="inlineStr">
        <is>
          <t>IMPACTO</t>
        </is>
      </c>
      <c r="C68" s="130" t="inlineStr">
        <is>
          <t>Incentivar a educação docente e discente para o aprendizado de idiomas, com certificações periódicas internacionais</t>
        </is>
      </c>
      <c r="D68" s="130" t="n">
        <v/>
      </c>
      <c r="E68" s="130" t="inlineStr">
        <is>
          <t>Comissão de Acompanhamento Discente</t>
        </is>
      </c>
      <c r="F68" s="130" t="n">
        <v/>
      </c>
      <c r="G68" s="130" t="n">
        <v/>
      </c>
      <c r="H68" s="130" t="n">
        <v/>
      </c>
      <c r="I68" s="130" t="n">
        <v/>
      </c>
      <c r="J68" s="130" t="inlineStr">
        <is>
          <t>EM ANDAMENTO</t>
        </is>
      </c>
      <c r="K68" s="130" t="n">
        <v/>
      </c>
      <c r="L68" s="130" t="inlineStr">
        <is>
          <t>OKR4</t>
        </is>
      </c>
      <c r="M68" s="130" t="n">
        <v/>
      </c>
      <c r="N68" s="130" t="inlineStr">
        <is>
          <t>OKR4</t>
        </is>
      </c>
      <c r="O68" s="130" t="inlineStr">
        <is>
          <t>OKR4.KR3</t>
        </is>
      </c>
      <c r="P68" s="130" t="inlineStr"/>
      <c r="Q68" s="130" t="inlineStr">
        <is>
          <t>Ofertar 1 disciplina/atividade formativa em idioma estrangeiro por ano e viabilizar mobilidade discente (sanduíche/cotutela).</t>
        </is>
      </c>
      <c r="R68" s="130" t="inlineStr">
        <is>
          <t>≥1/ano + ≥4 mobilidades</t>
        </is>
      </c>
      <c r="S68" s="130" t="inlineStr">
        <is>
          <t>Semestral</t>
        </is>
      </c>
      <c r="T68" s="130">
        <f>IF(P68&lt;&gt;"",P68,O68)</f>
        <v/>
      </c>
    </row>
    <row r="69">
      <c r="A69" s="130" t="n">
        <v>68</v>
      </c>
      <c r="B69" s="130" t="inlineStr">
        <is>
          <t>IMPACTO</t>
        </is>
      </c>
      <c r="C69" s="130" t="inlineStr">
        <is>
          <t>Incentivar o docente e o discente na publicação internacional</t>
        </is>
      </c>
      <c r="D69" s="130" t="n">
        <v/>
      </c>
      <c r="E69" s="130" t="inlineStr">
        <is>
          <t>Coordenação do MPEA</t>
        </is>
      </c>
      <c r="F69" s="130" t="n">
        <v/>
      </c>
      <c r="G69" s="130" t="n">
        <v/>
      </c>
      <c r="H69" s="130" t="n">
        <v/>
      </c>
      <c r="I69" s="130" t="n">
        <v/>
      </c>
      <c r="J69" s="130" t="inlineStr">
        <is>
          <t>EM ANDAMENTO</t>
        </is>
      </c>
      <c r="K69" s="130" t="n">
        <v/>
      </c>
      <c r="L69" s="130" t="inlineStr">
        <is>
          <t>OKR4</t>
        </is>
      </c>
      <c r="M69" s="130" t="n">
        <v/>
      </c>
      <c r="N69" s="130" t="inlineStr">
        <is>
          <t>OKR4</t>
        </is>
      </c>
      <c r="O69" s="130" t="inlineStr">
        <is>
          <t>OKR4.KR1</t>
        </is>
      </c>
      <c r="P69" s="130" t="inlineStr"/>
      <c r="Q69" s="130" t="inlineStr">
        <is>
          <t>Garantir que ≥50% do DP realize ≥3 ações internacionais no quadriênio.</t>
        </is>
      </c>
      <c r="R69" s="130" t="inlineStr">
        <is>
          <t>≥50% DP</t>
        </is>
      </c>
      <c r="S69" s="130" t="inlineStr">
        <is>
          <t>Anual</t>
        </is>
      </c>
      <c r="T69" s="130">
        <f>IF(P69&lt;&gt;"",P69,O69)</f>
        <v/>
      </c>
    </row>
    <row r="70">
      <c r="A70" s="130" t="n">
        <v>69</v>
      </c>
      <c r="B70" s="130" t="inlineStr">
        <is>
          <t>IMPACTO</t>
        </is>
      </c>
      <c r="C70" s="130" t="inlineStr">
        <is>
          <t>Divulgar o Planejamento Estratégico e os indicadores no site do MPEA</t>
        </is>
      </c>
      <c r="D70" s="130" t="n">
        <v/>
      </c>
      <c r="E70" s="130" t="inlineStr">
        <is>
          <t>Comissão de Monitoramento do Planejamento Estratégico</t>
        </is>
      </c>
      <c r="F70" s="130" t="n">
        <v/>
      </c>
      <c r="G70" s="130" t="n">
        <v/>
      </c>
      <c r="H70" s="130" t="n">
        <v/>
      </c>
      <c r="I70" s="130" t="n">
        <v/>
      </c>
      <c r="J70" s="130" t="inlineStr">
        <is>
          <t>EM ANDAMENTO</t>
        </is>
      </c>
      <c r="K70" s="130" t="n">
        <v/>
      </c>
      <c r="L70" s="130" t="inlineStr">
        <is>
          <t>OKR5</t>
        </is>
      </c>
      <c r="M70" s="130" t="n">
        <v/>
      </c>
      <c r="N70" s="130" t="inlineStr">
        <is>
          <t>OKR5</t>
        </is>
      </c>
      <c r="O70" s="130" t="inlineStr">
        <is>
          <t>OKR5.KR2</t>
        </is>
      </c>
      <c r="P70" s="130" t="inlineStr"/>
      <c r="Q70" s="130" t="inlineStr">
        <is>
          <t>Implantar plano de comunicação científica e atualizar página do PPG (PT/EN/ES) com dados exigidos.</t>
        </is>
      </c>
      <c r="R70" s="130" t="inlineStr">
        <is>
          <t>Página atualizada + bilíngue/trilíngue</t>
        </is>
      </c>
      <c r="S70" s="130" t="inlineStr">
        <is>
          <t>Trimestral</t>
        </is>
      </c>
      <c r="T70" s="130">
        <f>IF(P70&lt;&gt;"",P70,O70)</f>
        <v/>
      </c>
    </row>
    <row r="71">
      <c r="A71" s="130" t="n">
        <v>70</v>
      </c>
      <c r="B71" s="130" t="inlineStr">
        <is>
          <t>IMPACTO</t>
        </is>
      </c>
      <c r="C71" s="130" t="inlineStr">
        <is>
          <t xml:space="preserve">Criar associação dos egressos </t>
        </is>
      </c>
      <c r="D71" s="130" t="inlineStr">
        <is>
          <t>Envolver os egressos em atividades do Programa</t>
        </is>
      </c>
      <c r="E71" s="130" t="inlineStr">
        <is>
          <t>Comissão de Acompanhamento de Egressos</t>
        </is>
      </c>
      <c r="F71" s="130" t="n">
        <v/>
      </c>
      <c r="G71" s="130" t="n">
        <v/>
      </c>
      <c r="H71" s="130" t="n">
        <v/>
      </c>
      <c r="I71" s="130" t="n">
        <v/>
      </c>
      <c r="J71" s="130" t="inlineStr">
        <is>
          <t>EM ANDAMENTO</t>
        </is>
      </c>
      <c r="K71" s="130" t="n">
        <v/>
      </c>
      <c r="L71" s="130" t="inlineStr">
        <is>
          <t>OKR5</t>
        </is>
      </c>
      <c r="M71" s="130" t="n">
        <v/>
      </c>
      <c r="N71" s="130" t="inlineStr">
        <is>
          <t>OKR5</t>
        </is>
      </c>
      <c r="O71" s="130" t="inlineStr">
        <is>
          <t>OKR5.KR1</t>
        </is>
      </c>
      <c r="P71" s="130" t="inlineStr"/>
      <c r="Q71" s="130" t="inlineStr">
        <is>
          <t>Garantir que ≥60% do DP realize ≥3 ações de inserção regional/nacional no quadriênio.</t>
        </is>
      </c>
      <c r="R71" s="130" t="inlineStr">
        <is>
          <t>≥60% DP</t>
        </is>
      </c>
      <c r="S71" s="130" t="inlineStr">
        <is>
          <t>Anual</t>
        </is>
      </c>
      <c r="T71" s="130">
        <f>IF(P71&lt;&gt;"",P71,O71)</f>
        <v/>
      </c>
    </row>
    <row r="72">
      <c r="A72" s="130" t="n">
        <v>71</v>
      </c>
      <c r="B72" s="130" t="inlineStr">
        <is>
          <t>IMPACTO</t>
        </is>
      </c>
      <c r="C72" s="130" t="inlineStr">
        <is>
          <t xml:space="preserve">Atualizar periodicamente o site do MPEA </t>
        </is>
      </c>
      <c r="D72" s="130" t="n">
        <v/>
      </c>
      <c r="E72" s="130" t="inlineStr">
        <is>
          <t>Comissão de Visibilidade</t>
        </is>
      </c>
      <c r="F72" s="130" t="n">
        <v/>
      </c>
      <c r="G72" s="130" t="n">
        <v/>
      </c>
      <c r="H72" s="130" t="n">
        <v/>
      </c>
      <c r="I72" s="130" t="n">
        <v/>
      </c>
      <c r="J72" s="130" t="inlineStr">
        <is>
          <t>EM ANDAMENTO</t>
        </is>
      </c>
      <c r="K72" s="130" t="n">
        <v/>
      </c>
      <c r="L72" s="130" t="inlineStr">
        <is>
          <t>OKR5</t>
        </is>
      </c>
      <c r="M72" s="130" t="n">
        <v/>
      </c>
      <c r="N72" s="130" t="inlineStr">
        <is>
          <t>OKR5</t>
        </is>
      </c>
      <c r="O72" s="130" t="inlineStr">
        <is>
          <t>OKR5.KR2</t>
        </is>
      </c>
      <c r="P72" s="130" t="inlineStr"/>
      <c r="Q72" s="130" t="inlineStr">
        <is>
          <t>Implantar plano de comunicação científica e atualizar página do PPG (PT/EN/ES) com dados exigidos.</t>
        </is>
      </c>
      <c r="R72" s="130" t="inlineStr">
        <is>
          <t>Página atualizada + bilíngue/trilíngue</t>
        </is>
      </c>
      <c r="S72" s="130" t="inlineStr">
        <is>
          <t>Trimestral</t>
        </is>
      </c>
      <c r="T72" s="130">
        <f>IF(P72&lt;&gt;"",P72,O72)</f>
        <v/>
      </c>
    </row>
    <row r="73">
      <c r="A73" s="130" t="n">
        <v>72</v>
      </c>
      <c r="B73" s="130" t="inlineStr">
        <is>
          <t>IMPACTO</t>
        </is>
      </c>
      <c r="C73" s="130" t="inlineStr">
        <is>
          <t>Vínculos institucionais frágeis dos discentes</t>
        </is>
      </c>
      <c r="D73" s="130" t="n">
        <v/>
      </c>
      <c r="E73" s="130" t="inlineStr">
        <is>
          <t>Comissão de Acompanhamento Discente</t>
        </is>
      </c>
      <c r="F73" s="130" t="n">
        <v/>
      </c>
      <c r="G73" s="130" t="n">
        <v/>
      </c>
      <c r="H73" s="130" t="n">
        <v/>
      </c>
      <c r="I73" s="130" t="n">
        <v/>
      </c>
      <c r="J73" s="130" t="n">
        <v/>
      </c>
      <c r="K73" s="130" t="n">
        <v/>
      </c>
      <c r="L73" s="130" t="inlineStr">
        <is>
          <t>OKR3</t>
        </is>
      </c>
      <c r="M73" s="130" t="n">
        <v/>
      </c>
      <c r="N73" s="130" t="inlineStr">
        <is>
          <t>OKR3</t>
        </is>
      </c>
      <c r="O73" s="130" t="inlineStr">
        <is>
          <t>OKR3.KR1</t>
        </is>
      </c>
      <c r="P73" s="130" t="inlineStr"/>
      <c r="Q73" s="130" t="inlineStr">
        <is>
          <t>Construir e documentar 3 casos de impacto com evidências (adoção/efeitos externos) no quadriênio, com participação discente.</t>
        </is>
      </c>
      <c r="R73" s="130" t="inlineStr">
        <is>
          <t>≥3 casos</t>
        </is>
      </c>
      <c r="S73" s="130" t="inlineStr">
        <is>
          <t>Semestral</t>
        </is>
      </c>
      <c r="T73" s="130">
        <f>IF(P73&lt;&gt;"",P73,O73)</f>
        <v/>
      </c>
    </row>
    <row r="74">
      <c r="A74" s="130" t="n">
        <v>73</v>
      </c>
      <c r="B74" s="130" t="inlineStr">
        <is>
          <t>IMPACTO</t>
        </is>
      </c>
      <c r="C74" s="130" t="inlineStr">
        <is>
          <t>Ausência de bolsas para alunos do Programa Profissional</t>
        </is>
      </c>
      <c r="D74" s="130" t="n">
        <v/>
      </c>
      <c r="E74" s="130" t="inlineStr">
        <is>
          <t>Coordenação do MPEA</t>
        </is>
      </c>
      <c r="F74" s="130" t="n">
        <v/>
      </c>
      <c r="G74" s="130" t="n">
        <v/>
      </c>
      <c r="H74" s="130" t="n">
        <v/>
      </c>
      <c r="I74" s="130" t="n">
        <v/>
      </c>
      <c r="J74" s="130" t="n">
        <v/>
      </c>
      <c r="K74" s="130" t="n">
        <v/>
      </c>
      <c r="L74" s="130" t="inlineStr">
        <is>
          <t>OKR3</t>
        </is>
      </c>
      <c r="M74" s="130" t="n">
        <v/>
      </c>
      <c r="N74" s="130" t="inlineStr">
        <is>
          <t>OKR3</t>
        </is>
      </c>
      <c r="O74" s="130" t="inlineStr">
        <is>
          <t>OKR3.KR1</t>
        </is>
      </c>
      <c r="P74" s="130" t="inlineStr"/>
      <c r="Q74" s="130" t="inlineStr">
        <is>
          <t>Construir e documentar 3 casos de impacto com evidências (adoção/efeitos externos) no quadriênio, com participação discente.</t>
        </is>
      </c>
      <c r="R74" s="130" t="inlineStr">
        <is>
          <t>≥3 casos</t>
        </is>
      </c>
      <c r="S74" s="130" t="inlineStr">
        <is>
          <t>Semestral</t>
        </is>
      </c>
      <c r="T74" s="130">
        <f>IF(P74&lt;&gt;"",P74,O74)</f>
        <v/>
      </c>
    </row>
    <row r="75">
      <c r="A75" s="130" t="n">
        <v>74</v>
      </c>
      <c r="B75" s="130" t="inlineStr">
        <is>
          <t>IMPACTO</t>
        </is>
      </c>
      <c r="C75" s="130" t="inlineStr">
        <is>
          <t>Docentes do Programa em licença sem vencimento</t>
        </is>
      </c>
      <c r="D75" s="130" t="n">
        <v/>
      </c>
      <c r="E75" s="130" t="inlineStr">
        <is>
          <t>Coordenação do MPEA</t>
        </is>
      </c>
      <c r="F75" s="130" t="n">
        <v/>
      </c>
      <c r="G75" s="130" t="n">
        <v/>
      </c>
      <c r="H75" s="130" t="n">
        <v/>
      </c>
      <c r="I75" s="130" t="n">
        <v/>
      </c>
      <c r="J75" s="130" t="n">
        <v/>
      </c>
      <c r="K75" s="130" t="n">
        <v/>
      </c>
      <c r="L75" s="130" t="inlineStr">
        <is>
          <t>OKR3</t>
        </is>
      </c>
      <c r="M75" s="130" t="n">
        <v/>
      </c>
      <c r="N75" s="130" t="inlineStr">
        <is>
          <t>OKR3</t>
        </is>
      </c>
      <c r="O75" s="130" t="inlineStr">
        <is>
          <t>OKR3.KR1</t>
        </is>
      </c>
      <c r="P75" s="130" t="inlineStr"/>
      <c r="Q75" s="130" t="inlineStr">
        <is>
          <t>Construir e documentar 3 casos de impacto com evidências (adoção/efeitos externos) no quadriênio, com participação discente.</t>
        </is>
      </c>
      <c r="R75" s="130" t="inlineStr">
        <is>
          <t>≥3 casos</t>
        </is>
      </c>
      <c r="S75" s="130" t="inlineStr">
        <is>
          <t>Semestral</t>
        </is>
      </c>
      <c r="T75" s="130">
        <f>IF(P75&lt;&gt;"",P75,O75)</f>
        <v/>
      </c>
    </row>
    <row r="76">
      <c r="A76" s="130" t="n">
        <v>75</v>
      </c>
      <c r="B76" s="130" t="inlineStr">
        <is>
          <t>IMPACTO</t>
        </is>
      </c>
      <c r="C76" s="130" t="inlineStr">
        <is>
          <t>Falta de absorção dos egressos no mercado de trabalho</t>
        </is>
      </c>
      <c r="D76" s="130" t="n">
        <v/>
      </c>
      <c r="E76" s="130" t="inlineStr">
        <is>
          <t>Comissão de Acompanhamento de Egressos</t>
        </is>
      </c>
      <c r="F76" s="130" t="n">
        <v/>
      </c>
      <c r="G76" s="130" t="n">
        <v/>
      </c>
      <c r="H76" s="130" t="n">
        <v/>
      </c>
      <c r="I76" s="130" t="n">
        <v/>
      </c>
      <c r="J76" s="130" t="n">
        <v/>
      </c>
      <c r="K76" s="130" t="n">
        <v/>
      </c>
      <c r="L76" s="130" t="inlineStr">
        <is>
          <t>OKR3</t>
        </is>
      </c>
      <c r="M76" s="130" t="n">
        <v/>
      </c>
      <c r="N76" s="130" t="inlineStr">
        <is>
          <t>OKR3</t>
        </is>
      </c>
      <c r="O76" s="130" t="inlineStr">
        <is>
          <t>OKR3.KR1</t>
        </is>
      </c>
      <c r="P76" s="130" t="inlineStr"/>
      <c r="Q76" s="130" t="inlineStr">
        <is>
          <t>Construir e documentar 3 casos de impacto com evidências (adoção/efeitos externos) no quadriênio, com participação discente.</t>
        </is>
      </c>
      <c r="R76" s="130" t="inlineStr">
        <is>
          <t>≥3 casos</t>
        </is>
      </c>
      <c r="S76" s="130" t="inlineStr">
        <is>
          <t>Semestral</t>
        </is>
      </c>
      <c r="T76" s="130">
        <f>IF(P76&lt;&gt;"",P76,O76)</f>
        <v/>
      </c>
    </row>
    <row r="77">
      <c r="A77" s="130" t="n">
        <v>76</v>
      </c>
      <c r="B77" s="130" t="inlineStr">
        <is>
          <t>IMPACTO</t>
        </is>
      </c>
      <c r="C77" s="130" t="inlineStr">
        <is>
          <t>Mudanças e instabilidade dos itens de avaliação da CAPES  podendo implicar em redução do conceito do programa</t>
        </is>
      </c>
      <c r="D77" s="130" t="n">
        <v/>
      </c>
      <c r="E77" s="130" t="inlineStr">
        <is>
          <t>Comissão de Monitoramento do Planejamento Estratégico</t>
        </is>
      </c>
      <c r="F77" s="130" t="n">
        <v/>
      </c>
      <c r="G77" s="130" t="n">
        <v/>
      </c>
      <c r="H77" s="130" t="n">
        <v/>
      </c>
      <c r="I77" s="130" t="n">
        <v/>
      </c>
      <c r="J77" s="130" t="n">
        <v/>
      </c>
      <c r="K77" s="130" t="n">
        <v/>
      </c>
      <c r="L77" s="130" t="inlineStr">
        <is>
          <t>OKR3</t>
        </is>
      </c>
      <c r="M77" s="130" t="n">
        <v/>
      </c>
      <c r="N77" s="130" t="inlineStr">
        <is>
          <t>OKR3</t>
        </is>
      </c>
      <c r="O77" s="130" t="inlineStr">
        <is>
          <t>OKR3.KR3</t>
        </is>
      </c>
      <c r="P77" s="130" t="inlineStr"/>
      <c r="Q77" s="130" t="inlineStr">
        <is>
          <t>Firmar parcerias formais com serviços/gestores para implementação e avaliação de produtos/processos.</t>
        </is>
      </c>
      <c r="R77" s="130" t="inlineStr">
        <is>
          <t>≥6 acordos/convênios</t>
        </is>
      </c>
      <c r="S77" s="130" t="inlineStr">
        <is>
          <t>Trimestral</t>
        </is>
      </c>
      <c r="T77" s="130">
        <f>IF(P77&lt;&gt;"",P77,O77)</f>
        <v/>
      </c>
    </row>
    <row r="78">
      <c r="A78" s="130" t="n">
        <v>77</v>
      </c>
      <c r="B78" s="130" t="inlineStr">
        <is>
          <t>IMPACTO</t>
        </is>
      </c>
      <c r="C78" s="130" t="inlineStr">
        <is>
          <t>Falta de certificação para os especialistas</t>
        </is>
      </c>
      <c r="D78" s="130" t="n">
        <v/>
      </c>
      <c r="E78" s="130" t="inlineStr">
        <is>
          <t>Coordenação do MPEA</t>
        </is>
      </c>
      <c r="F78" s="130" t="n">
        <v/>
      </c>
      <c r="G78" s="130" t="n">
        <v/>
      </c>
      <c r="H78" s="130" t="n">
        <v/>
      </c>
      <c r="I78" s="130" t="n">
        <v/>
      </c>
      <c r="J78" s="130" t="n">
        <v/>
      </c>
      <c r="K78" s="130" t="n">
        <v/>
      </c>
      <c r="L78" s="130" t="inlineStr">
        <is>
          <t>OKR3</t>
        </is>
      </c>
      <c r="M78" s="130" t="n">
        <v/>
      </c>
      <c r="N78" s="130" t="inlineStr">
        <is>
          <t>OKR3</t>
        </is>
      </c>
      <c r="O78" s="130" t="inlineStr">
        <is>
          <t>OKR3.KR1</t>
        </is>
      </c>
      <c r="P78" s="130" t="inlineStr"/>
      <c r="Q78" s="130" t="inlineStr">
        <is>
          <t>Construir e documentar 3 casos de impacto com evidências (adoção/efeitos externos) no quadriênio, com participação discente.</t>
        </is>
      </c>
      <c r="R78" s="130" t="inlineStr">
        <is>
          <t>≥3 casos</t>
        </is>
      </c>
      <c r="S78" s="130" t="inlineStr">
        <is>
          <t>Semestral</t>
        </is>
      </c>
      <c r="T78" s="130">
        <f>IF(P78&lt;&gt;"",P78,O78)</f>
        <v/>
      </c>
    </row>
    <row r="79">
      <c r="A79" s="130" t="n">
        <v>78</v>
      </c>
      <c r="B79" s="130" t="inlineStr">
        <is>
          <t>IMPACTO</t>
        </is>
      </c>
      <c r="C79" s="130" t="inlineStr">
        <is>
          <t>Melhorar a adesão do egresso ao formulário de coleta de dados</t>
        </is>
      </c>
      <c r="D79" s="130" t="n">
        <v/>
      </c>
      <c r="E79" s="130" t="inlineStr">
        <is>
          <t>Comissão de Acompanhamento de Egressos</t>
        </is>
      </c>
      <c r="F79" s="130" t="n">
        <v/>
      </c>
      <c r="G79" s="130" t="n">
        <v/>
      </c>
      <c r="H79" s="130" t="n">
        <v/>
      </c>
      <c r="I79" s="130" t="n">
        <v/>
      </c>
      <c r="J79" s="130" t="inlineStr">
        <is>
          <t>EM ANDAMENTO</t>
        </is>
      </c>
      <c r="K79" s="130" t="n">
        <v/>
      </c>
      <c r="L79" s="130" t="inlineStr">
        <is>
          <t>OKR3</t>
        </is>
      </c>
      <c r="M79" s="130" t="n">
        <v/>
      </c>
      <c r="N79" s="130" t="inlineStr">
        <is>
          <t>OKR3</t>
        </is>
      </c>
      <c r="O79" s="130" t="inlineStr">
        <is>
          <t>OKR3.KR1</t>
        </is>
      </c>
      <c r="P79" s="130" t="inlineStr"/>
      <c r="Q79" s="130" t="inlineStr">
        <is>
          <t>Construir e documentar 3 casos de impacto com evidências (adoção/efeitos externos) no quadriênio, com participação discente.</t>
        </is>
      </c>
      <c r="R79" s="130" t="inlineStr">
        <is>
          <t>≥3 casos</t>
        </is>
      </c>
      <c r="S79" s="130" t="inlineStr">
        <is>
          <t>Semestral</t>
        </is>
      </c>
      <c r="T79" s="130">
        <f>IF(P79&lt;&gt;"",P79,O79)</f>
        <v/>
      </c>
    </row>
    <row r="80">
      <c r="A80" s="130" t="n">
        <v>79</v>
      </c>
      <c r="B80" s="130" t="inlineStr">
        <is>
          <t>IMPACTO</t>
        </is>
      </c>
      <c r="C80" s="130" t="inlineStr">
        <is>
          <t>Impacto da realização de turma fora de sede</t>
        </is>
      </c>
      <c r="D80" s="130" t="inlineStr">
        <is>
          <t>Sustentar ações de solidariedade do programa</t>
        </is>
      </c>
      <c r="E80" s="130" t="inlineStr">
        <is>
          <t>Coordenação do MPEA</t>
        </is>
      </c>
      <c r="F80" s="130" t="n">
        <v/>
      </c>
      <c r="G80" s="130" t="n">
        <v/>
      </c>
      <c r="H80" s="130" t="n">
        <v/>
      </c>
      <c r="I80" s="130" t="n">
        <v/>
      </c>
      <c r="J80" s="130" t="inlineStr">
        <is>
          <t>EM ANDAMENTO</t>
        </is>
      </c>
      <c r="K80" s="130" t="n">
        <v/>
      </c>
      <c r="L80" s="130" t="inlineStr">
        <is>
          <t>OKR3</t>
        </is>
      </c>
      <c r="M80" s="130" t="n">
        <v/>
      </c>
      <c r="N80" s="130" t="inlineStr">
        <is>
          <t>OKR3</t>
        </is>
      </c>
      <c r="O80" s="130" t="inlineStr">
        <is>
          <t>OKR3.KR1</t>
        </is>
      </c>
      <c r="P80" s="130" t="inlineStr"/>
      <c r="Q80" s="130" t="inlineStr">
        <is>
          <t>Construir e documentar 3 casos de impacto com evidências (adoção/efeitos externos) no quadriênio, com participação discente.</t>
        </is>
      </c>
      <c r="R80" s="130" t="inlineStr">
        <is>
          <t>≥3 casos</t>
        </is>
      </c>
      <c r="S80" s="130" t="inlineStr">
        <is>
          <t>Semestral</t>
        </is>
      </c>
      <c r="T80" s="130">
        <f>IF(P80&lt;&gt;"",P80,O80)</f>
        <v/>
      </c>
    </row>
  </sheetData>
  <dataValidations count="1">
    <dataValidation sqref="P2:P80" showDropDown="0" showInputMessage="0" showErrorMessage="0" allowBlank="1" type="list">
      <formula1>=LISTA_KR_IDS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10" customWidth="1" style="108" min="3" max="3"/>
  </cols>
  <sheetData>
    <row r="1">
      <c r="A1" s="129" t="inlineStr">
        <is>
          <t>ID</t>
        </is>
      </c>
      <c r="B1" s="129" t="inlineStr">
        <is>
          <t>OKR_ID</t>
        </is>
      </c>
      <c r="C1" s="129" t="inlineStr">
        <is>
          <t>KR_ID</t>
        </is>
      </c>
    </row>
    <row r="2">
      <c r="A2" s="130" t="n">
        <v>1</v>
      </c>
      <c r="B2" s="130" t="inlineStr">
        <is>
          <t>OKR2</t>
        </is>
      </c>
      <c r="C2" s="130" t="inlineStr">
        <is>
          <t>OKR2.KR2</t>
        </is>
      </c>
    </row>
    <row r="3">
      <c r="A3" s="130" t="n">
        <v>2</v>
      </c>
      <c r="B3" s="130" t="inlineStr">
        <is>
          <t>OKR2</t>
        </is>
      </c>
      <c r="C3" s="130" t="inlineStr">
        <is>
          <t>OKR2.KR2</t>
        </is>
      </c>
    </row>
    <row r="4">
      <c r="A4" s="130" t="n">
        <v>3</v>
      </c>
      <c r="B4" s="130" t="inlineStr">
        <is>
          <t>OKR5</t>
        </is>
      </c>
      <c r="C4" s="130" t="inlineStr">
        <is>
          <t>OKR5.KR1</t>
        </is>
      </c>
    </row>
    <row r="5">
      <c r="A5" s="130" t="n">
        <v>4</v>
      </c>
      <c r="B5" s="130" t="inlineStr">
        <is>
          <t>OKR1</t>
        </is>
      </c>
      <c r="C5" s="130" t="inlineStr">
        <is>
          <t>OKR1.KR3</t>
        </is>
      </c>
    </row>
    <row r="6">
      <c r="A6" s="130" t="n">
        <v>5</v>
      </c>
      <c r="B6" s="130" t="inlineStr">
        <is>
          <t>OKR1</t>
        </is>
      </c>
      <c r="C6" s="130" t="inlineStr">
        <is>
          <t>OKR1.KR3</t>
        </is>
      </c>
    </row>
    <row r="7">
      <c r="A7" s="130" t="n">
        <v>6</v>
      </c>
      <c r="B7" s="130" t="inlineStr">
        <is>
          <t>OKR1</t>
        </is>
      </c>
      <c r="C7" s="130" t="inlineStr">
        <is>
          <t>OKR1.KR1</t>
        </is>
      </c>
    </row>
    <row r="8">
      <c r="A8" s="130" t="n">
        <v>7</v>
      </c>
      <c r="B8" s="130" t="inlineStr">
        <is>
          <t>OKR1</t>
        </is>
      </c>
      <c r="C8" s="130" t="inlineStr">
        <is>
          <t>OKR1.KR1</t>
        </is>
      </c>
    </row>
    <row r="9">
      <c r="A9" s="130" t="n">
        <v>8</v>
      </c>
      <c r="B9" s="130" t="inlineStr">
        <is>
          <t>OKR5</t>
        </is>
      </c>
      <c r="C9" s="130" t="inlineStr">
        <is>
          <t>OKR5.KR1</t>
        </is>
      </c>
    </row>
    <row r="10">
      <c r="A10" s="130" t="n">
        <v>9</v>
      </c>
      <c r="B10" s="130" t="inlineStr">
        <is>
          <t>OKR1</t>
        </is>
      </c>
      <c r="C10" s="130" t="inlineStr">
        <is>
          <t>OKR1.KR1</t>
        </is>
      </c>
    </row>
    <row r="11">
      <c r="A11" s="130" t="n">
        <v>10</v>
      </c>
      <c r="B11" s="130" t="inlineStr">
        <is>
          <t>OKR2</t>
        </is>
      </c>
      <c r="C11" s="130" t="inlineStr">
        <is>
          <t>OKR2.KR1</t>
        </is>
      </c>
    </row>
    <row r="12">
      <c r="A12" s="130" t="n">
        <v>11</v>
      </c>
      <c r="B12" s="130" t="inlineStr">
        <is>
          <t>OKR2</t>
        </is>
      </c>
      <c r="C12" s="130" t="inlineStr">
        <is>
          <t>OKR2.KR2</t>
        </is>
      </c>
    </row>
    <row r="13">
      <c r="A13" s="130" t="n">
        <v>12</v>
      </c>
      <c r="B13" s="130" t="inlineStr">
        <is>
          <t>OKR1</t>
        </is>
      </c>
      <c r="C13" s="130" t="inlineStr">
        <is>
          <t>OKR1.KR1</t>
        </is>
      </c>
    </row>
    <row r="14">
      <c r="A14" s="130" t="n">
        <v>13</v>
      </c>
      <c r="B14" s="130" t="inlineStr">
        <is>
          <t>OKR3</t>
        </is>
      </c>
      <c r="C14" s="130" t="inlineStr">
        <is>
          <t>OKR3.KR3</t>
        </is>
      </c>
    </row>
    <row r="15">
      <c r="A15" s="130" t="n">
        <v>14</v>
      </c>
      <c r="B15" s="130" t="inlineStr">
        <is>
          <t>OKR2</t>
        </is>
      </c>
      <c r="C15" s="130" t="inlineStr">
        <is>
          <t>OKR2.KR1</t>
        </is>
      </c>
    </row>
    <row r="16">
      <c r="A16" s="130" t="n">
        <v>15</v>
      </c>
      <c r="B16" s="130" t="inlineStr">
        <is>
          <t>OKR2</t>
        </is>
      </c>
      <c r="C16" s="130" t="inlineStr">
        <is>
          <t>OKR2.KR2</t>
        </is>
      </c>
    </row>
    <row r="17">
      <c r="A17" s="130" t="n">
        <v>16</v>
      </c>
      <c r="B17" s="130" t="inlineStr">
        <is>
          <t>OKR2</t>
        </is>
      </c>
      <c r="C17" s="130" t="inlineStr">
        <is>
          <t>OKR2.KR2</t>
        </is>
      </c>
    </row>
    <row r="18">
      <c r="A18" s="130" t="n">
        <v>17</v>
      </c>
      <c r="B18" s="130" t="inlineStr">
        <is>
          <t>OKR2</t>
        </is>
      </c>
      <c r="C18" s="130" t="inlineStr">
        <is>
          <t>OKR2.KR2</t>
        </is>
      </c>
    </row>
    <row r="19">
      <c r="A19" s="130" t="n">
        <v>18</v>
      </c>
      <c r="B19" s="130" t="inlineStr">
        <is>
          <t>OKR2</t>
        </is>
      </c>
      <c r="C19" s="130" t="inlineStr">
        <is>
          <t>OKR2.KR1</t>
        </is>
      </c>
    </row>
    <row r="20">
      <c r="A20" s="130" t="n">
        <v>19</v>
      </c>
      <c r="B20" s="130" t="inlineStr">
        <is>
          <t>OKR2</t>
        </is>
      </c>
      <c r="C20" s="130" t="inlineStr">
        <is>
          <t>OKR2.KR1</t>
        </is>
      </c>
    </row>
    <row r="21">
      <c r="A21" s="130" t="n">
        <v>20</v>
      </c>
      <c r="B21" s="130" t="inlineStr">
        <is>
          <t>OKR2</t>
        </is>
      </c>
      <c r="C21" s="130" t="inlineStr">
        <is>
          <t>OKR2.KR1</t>
        </is>
      </c>
    </row>
    <row r="22">
      <c r="A22" s="130" t="n">
        <v>21</v>
      </c>
      <c r="B22" s="130" t="inlineStr">
        <is>
          <t>OKR4</t>
        </is>
      </c>
      <c r="C22" s="130" t="inlineStr">
        <is>
          <t>OKR4.KR1</t>
        </is>
      </c>
    </row>
    <row r="23">
      <c r="A23" s="130" t="n">
        <v>22</v>
      </c>
      <c r="B23" s="130" t="inlineStr">
        <is>
          <t>OKR2</t>
        </is>
      </c>
      <c r="C23" s="130" t="inlineStr">
        <is>
          <t>OKR2.KR1</t>
        </is>
      </c>
    </row>
    <row r="24">
      <c r="A24" s="130" t="n">
        <v>23</v>
      </c>
      <c r="B24" s="130" t="inlineStr">
        <is>
          <t>OKR2</t>
        </is>
      </c>
      <c r="C24" s="130" t="inlineStr">
        <is>
          <t>OKR2.KR1</t>
        </is>
      </c>
    </row>
    <row r="25">
      <c r="A25" s="130" t="n">
        <v>24</v>
      </c>
      <c r="B25" s="130" t="inlineStr">
        <is>
          <t>OKR1</t>
        </is>
      </c>
      <c r="C25" s="130" t="inlineStr">
        <is>
          <t>OKR1.KR3</t>
        </is>
      </c>
    </row>
    <row r="26">
      <c r="A26" s="130" t="n">
        <v>25</v>
      </c>
      <c r="B26" s="130" t="inlineStr">
        <is>
          <t>OKR5</t>
        </is>
      </c>
      <c r="C26" s="130" t="inlineStr">
        <is>
          <t>OKR5.KR1</t>
        </is>
      </c>
    </row>
    <row r="27">
      <c r="A27" s="130" t="n">
        <v>26</v>
      </c>
      <c r="B27" s="130" t="inlineStr">
        <is>
          <t>OKR1</t>
        </is>
      </c>
      <c r="C27" s="130" t="inlineStr">
        <is>
          <t>OKR1.KR4</t>
        </is>
      </c>
    </row>
    <row r="28">
      <c r="A28" s="130" t="n">
        <v>27</v>
      </c>
      <c r="B28" s="130" t="inlineStr">
        <is>
          <t>OKR1</t>
        </is>
      </c>
      <c r="C28" s="130" t="inlineStr">
        <is>
          <t>OKR1.KR1</t>
        </is>
      </c>
    </row>
    <row r="29">
      <c r="A29" s="130" t="n">
        <v>28</v>
      </c>
      <c r="B29" s="130" t="inlineStr">
        <is>
          <t>OKR2</t>
        </is>
      </c>
      <c r="C29" s="130" t="inlineStr">
        <is>
          <t>OKR2.KR2</t>
        </is>
      </c>
    </row>
    <row r="30">
      <c r="A30" s="130" t="n">
        <v>29</v>
      </c>
      <c r="B30" s="130" t="inlineStr">
        <is>
          <t>OKR2</t>
        </is>
      </c>
      <c r="C30" s="130" t="inlineStr">
        <is>
          <t>OKR2.KR2</t>
        </is>
      </c>
    </row>
    <row r="31">
      <c r="A31" s="130" t="n">
        <v>30</v>
      </c>
      <c r="B31" s="130" t="inlineStr">
        <is>
          <t>OKR2</t>
        </is>
      </c>
      <c r="C31" s="130" t="inlineStr">
        <is>
          <t>OKR2.KR2</t>
        </is>
      </c>
    </row>
    <row r="32">
      <c r="A32" s="130" t="n">
        <v>31</v>
      </c>
      <c r="B32" s="130" t="inlineStr">
        <is>
          <t>OKR2</t>
        </is>
      </c>
      <c r="C32" s="130" t="inlineStr">
        <is>
          <t>OKR2.KR1</t>
        </is>
      </c>
    </row>
    <row r="33">
      <c r="A33" s="130" t="n">
        <v>32</v>
      </c>
      <c r="B33" s="130" t="inlineStr">
        <is>
          <t>OKR2</t>
        </is>
      </c>
      <c r="C33" s="130" t="inlineStr">
        <is>
          <t>OKR2.KR1</t>
        </is>
      </c>
    </row>
    <row r="34">
      <c r="A34" s="130" t="n">
        <v>33</v>
      </c>
      <c r="B34" s="130" t="inlineStr">
        <is>
          <t>OKR2</t>
        </is>
      </c>
      <c r="C34" s="130" t="inlineStr">
        <is>
          <t>OKR2.KR2</t>
        </is>
      </c>
    </row>
    <row r="35">
      <c r="A35" s="130" t="n">
        <v>34</v>
      </c>
      <c r="B35" s="130" t="inlineStr">
        <is>
          <t>OKR2</t>
        </is>
      </c>
      <c r="C35" s="130" t="inlineStr">
        <is>
          <t>OKR2.KR2</t>
        </is>
      </c>
    </row>
    <row r="36">
      <c r="A36" s="130" t="n">
        <v>35</v>
      </c>
      <c r="B36" s="130" t="inlineStr">
        <is>
          <t>OKR2</t>
        </is>
      </c>
      <c r="C36" s="130" t="inlineStr">
        <is>
          <t>OKR2.KR1</t>
        </is>
      </c>
    </row>
    <row r="37">
      <c r="A37" s="130" t="n">
        <v>36</v>
      </c>
      <c r="B37" s="130" t="inlineStr">
        <is>
          <t>OKR2</t>
        </is>
      </c>
      <c r="C37" s="130" t="inlineStr">
        <is>
          <t>OKR2.KR1</t>
        </is>
      </c>
    </row>
    <row r="38">
      <c r="A38" s="130" t="n">
        <v>37</v>
      </c>
      <c r="B38" s="130" t="inlineStr">
        <is>
          <t>OKR2</t>
        </is>
      </c>
      <c r="C38" s="130" t="inlineStr">
        <is>
          <t>OKR2.KR1</t>
        </is>
      </c>
    </row>
    <row r="39">
      <c r="A39" s="130" t="n">
        <v>38</v>
      </c>
      <c r="B39" s="130" t="inlineStr">
        <is>
          <t>OKR2</t>
        </is>
      </c>
      <c r="C39" s="130" t="inlineStr">
        <is>
          <t>OKR2.KR2</t>
        </is>
      </c>
    </row>
    <row r="40">
      <c r="A40" s="130" t="n">
        <v>39</v>
      </c>
      <c r="B40" s="130" t="inlineStr">
        <is>
          <t>OKR4</t>
        </is>
      </c>
      <c r="C40" s="130" t="inlineStr">
        <is>
          <t>OKR4.KR1</t>
        </is>
      </c>
    </row>
    <row r="41">
      <c r="A41" s="130" t="n">
        <v>40</v>
      </c>
      <c r="B41" s="130" t="inlineStr">
        <is>
          <t>OKR4</t>
        </is>
      </c>
      <c r="C41" s="130" t="inlineStr">
        <is>
          <t>OKR4.KR1</t>
        </is>
      </c>
    </row>
    <row r="42">
      <c r="A42" s="130" t="n">
        <v>41</v>
      </c>
      <c r="B42" s="130" t="inlineStr">
        <is>
          <t>OKR2</t>
        </is>
      </c>
      <c r="C42" s="130" t="inlineStr">
        <is>
          <t>OKR2.KR1</t>
        </is>
      </c>
    </row>
    <row r="43">
      <c r="A43" s="130" t="n">
        <v>42</v>
      </c>
      <c r="B43" s="130" t="inlineStr">
        <is>
          <t>OKR3</t>
        </is>
      </c>
      <c r="C43" s="130" t="inlineStr">
        <is>
          <t>OKR3.KR1</t>
        </is>
      </c>
    </row>
    <row r="44">
      <c r="A44" s="130" t="n">
        <v>43</v>
      </c>
      <c r="B44" s="130" t="inlineStr">
        <is>
          <t>OKR5</t>
        </is>
      </c>
      <c r="C44" s="130" t="inlineStr">
        <is>
          <t>OKR5.KR1</t>
        </is>
      </c>
    </row>
    <row r="45">
      <c r="A45" s="130" t="n">
        <v>44</v>
      </c>
      <c r="B45" s="130" t="inlineStr">
        <is>
          <t>OKR5</t>
        </is>
      </c>
      <c r="C45" s="130" t="inlineStr">
        <is>
          <t>OKR5.KR1</t>
        </is>
      </c>
    </row>
    <row r="46">
      <c r="A46" s="130" t="n">
        <v>45</v>
      </c>
      <c r="B46" s="130" t="inlineStr">
        <is>
          <t>OKR4</t>
        </is>
      </c>
      <c r="C46" s="130" t="inlineStr">
        <is>
          <t>OKR4.KR1</t>
        </is>
      </c>
    </row>
    <row r="47">
      <c r="A47" s="130" t="n">
        <v>46</v>
      </c>
      <c r="B47" s="130" t="inlineStr">
        <is>
          <t>OKR4</t>
        </is>
      </c>
      <c r="C47" s="130" t="inlineStr">
        <is>
          <t>OKR4.KR1</t>
        </is>
      </c>
    </row>
    <row r="48">
      <c r="A48" s="130" t="n">
        <v>47</v>
      </c>
      <c r="B48" s="130" t="inlineStr">
        <is>
          <t>OKR4</t>
        </is>
      </c>
      <c r="C48" s="130" t="inlineStr">
        <is>
          <t>OKR4.KR1</t>
        </is>
      </c>
    </row>
    <row r="49">
      <c r="A49" s="130" t="n">
        <v>48</v>
      </c>
      <c r="B49" s="130" t="inlineStr">
        <is>
          <t>OKR5</t>
        </is>
      </c>
      <c r="C49" s="130" t="inlineStr">
        <is>
          <t>OKR5.KR1</t>
        </is>
      </c>
    </row>
    <row r="50">
      <c r="A50" s="130" t="n">
        <v>49</v>
      </c>
      <c r="B50" s="130" t="inlineStr">
        <is>
          <t>OKR4</t>
        </is>
      </c>
      <c r="C50" s="130" t="inlineStr">
        <is>
          <t>OKR4.KR1</t>
        </is>
      </c>
    </row>
    <row r="51">
      <c r="A51" s="130" t="n">
        <v>50</v>
      </c>
      <c r="B51" s="130" t="inlineStr">
        <is>
          <t>OKR3</t>
        </is>
      </c>
      <c r="C51" s="130" t="inlineStr">
        <is>
          <t>OKR3.KR1</t>
        </is>
      </c>
    </row>
    <row r="52">
      <c r="A52" s="130" t="n">
        <v>51</v>
      </c>
      <c r="B52" s="130" t="inlineStr">
        <is>
          <t>OKR3</t>
        </is>
      </c>
      <c r="C52" s="130" t="inlineStr">
        <is>
          <t>OKR3.KR1</t>
        </is>
      </c>
    </row>
    <row r="53">
      <c r="A53" s="130" t="n">
        <v>52</v>
      </c>
      <c r="B53" s="130" t="inlineStr">
        <is>
          <t>OKR3</t>
        </is>
      </c>
      <c r="C53" s="130" t="inlineStr">
        <is>
          <t>OKR3.KR1</t>
        </is>
      </c>
    </row>
    <row r="54">
      <c r="A54" s="130" t="n">
        <v>53</v>
      </c>
      <c r="B54" s="130" t="inlineStr">
        <is>
          <t>OKR3</t>
        </is>
      </c>
      <c r="C54" s="130" t="inlineStr">
        <is>
          <t>OKR3.KR1</t>
        </is>
      </c>
    </row>
    <row r="55">
      <c r="A55" s="130" t="n">
        <v>54</v>
      </c>
      <c r="B55" s="130" t="inlineStr">
        <is>
          <t>OKR5</t>
        </is>
      </c>
      <c r="C55" s="130" t="inlineStr">
        <is>
          <t>OKR5.KR1</t>
        </is>
      </c>
    </row>
    <row r="56">
      <c r="A56" s="130" t="n">
        <v>55</v>
      </c>
      <c r="B56" s="130" t="inlineStr">
        <is>
          <t>OKR4</t>
        </is>
      </c>
      <c r="C56" s="130" t="inlineStr">
        <is>
          <t>OKR4.KR1</t>
        </is>
      </c>
    </row>
    <row r="57">
      <c r="A57" s="130" t="n">
        <v>56</v>
      </c>
      <c r="B57" s="130" t="inlineStr">
        <is>
          <t>OKR4</t>
        </is>
      </c>
      <c r="C57" s="130" t="inlineStr">
        <is>
          <t>OKR4.KR1</t>
        </is>
      </c>
    </row>
    <row r="58">
      <c r="A58" s="130" t="n">
        <v>57</v>
      </c>
      <c r="B58" s="130" t="inlineStr">
        <is>
          <t>OKR3</t>
        </is>
      </c>
      <c r="C58" s="130" t="inlineStr">
        <is>
          <t>OKR3.KR1</t>
        </is>
      </c>
    </row>
    <row r="59">
      <c r="A59" s="130" t="n">
        <v>58</v>
      </c>
      <c r="B59" s="130" t="inlineStr">
        <is>
          <t>OKR3</t>
        </is>
      </c>
      <c r="C59" s="130" t="inlineStr">
        <is>
          <t>OKR3.KR1</t>
        </is>
      </c>
    </row>
    <row r="60">
      <c r="A60" s="130" t="n">
        <v>59</v>
      </c>
      <c r="B60" s="130" t="inlineStr">
        <is>
          <t>OKR3</t>
        </is>
      </c>
      <c r="C60" s="130" t="inlineStr">
        <is>
          <t>OKR3.KR1</t>
        </is>
      </c>
    </row>
    <row r="61">
      <c r="A61" s="130" t="n">
        <v>60</v>
      </c>
      <c r="B61" s="130" t="inlineStr">
        <is>
          <t>OKR3</t>
        </is>
      </c>
      <c r="C61" s="130" t="inlineStr">
        <is>
          <t>OKR3.KR1</t>
        </is>
      </c>
    </row>
    <row r="62">
      <c r="A62" s="130" t="n">
        <v>61</v>
      </c>
      <c r="B62" s="130" t="inlineStr">
        <is>
          <t>OKR3</t>
        </is>
      </c>
      <c r="C62" s="130" t="inlineStr">
        <is>
          <t>OKR3.KR1</t>
        </is>
      </c>
    </row>
    <row r="63">
      <c r="A63" s="130" t="n">
        <v>62</v>
      </c>
      <c r="B63" s="130" t="inlineStr">
        <is>
          <t>OKR5</t>
        </is>
      </c>
      <c r="C63" s="130" t="inlineStr">
        <is>
          <t>OKR5.KR1</t>
        </is>
      </c>
    </row>
    <row r="64">
      <c r="A64" s="130" t="n">
        <v>63</v>
      </c>
      <c r="B64" s="130" t="inlineStr">
        <is>
          <t>OKR3</t>
        </is>
      </c>
      <c r="C64" s="130" t="inlineStr">
        <is>
          <t>OKR3.KR2</t>
        </is>
      </c>
    </row>
    <row r="65">
      <c r="A65" s="130" t="n">
        <v>64</v>
      </c>
      <c r="B65" s="130" t="inlineStr">
        <is>
          <t>OKR3</t>
        </is>
      </c>
      <c r="C65" s="130" t="inlineStr">
        <is>
          <t>OKR3.KR1</t>
        </is>
      </c>
    </row>
    <row r="66">
      <c r="A66" s="130" t="n">
        <v>65</v>
      </c>
      <c r="B66" s="130" t="inlineStr">
        <is>
          <t>OKR5</t>
        </is>
      </c>
      <c r="C66" s="130" t="inlineStr">
        <is>
          <t>OKR5.KR2</t>
        </is>
      </c>
    </row>
    <row r="67">
      <c r="A67" s="130" t="n">
        <v>66</v>
      </c>
      <c r="B67" s="130" t="inlineStr">
        <is>
          <t>OKR4</t>
        </is>
      </c>
      <c r="C67" s="130" t="inlineStr">
        <is>
          <t>OKR4.KR1</t>
        </is>
      </c>
    </row>
    <row r="68">
      <c r="A68" s="130" t="n">
        <v>67</v>
      </c>
      <c r="B68" s="130" t="inlineStr">
        <is>
          <t>OKR4</t>
        </is>
      </c>
      <c r="C68" s="130" t="inlineStr">
        <is>
          <t>OKR4.KR3</t>
        </is>
      </c>
    </row>
    <row r="69">
      <c r="A69" s="130" t="n">
        <v>68</v>
      </c>
      <c r="B69" s="130" t="inlineStr">
        <is>
          <t>OKR4</t>
        </is>
      </c>
      <c r="C69" s="130" t="inlineStr">
        <is>
          <t>OKR4.KR1</t>
        </is>
      </c>
    </row>
    <row r="70">
      <c r="A70" s="130" t="n">
        <v>69</v>
      </c>
      <c r="B70" s="130" t="inlineStr">
        <is>
          <t>OKR5</t>
        </is>
      </c>
      <c r="C70" s="130" t="inlineStr">
        <is>
          <t>OKR5.KR2</t>
        </is>
      </c>
    </row>
    <row r="71">
      <c r="A71" s="130" t="n">
        <v>70</v>
      </c>
      <c r="B71" s="130" t="inlineStr">
        <is>
          <t>OKR5</t>
        </is>
      </c>
      <c r="C71" s="130" t="inlineStr">
        <is>
          <t>OKR5.KR1</t>
        </is>
      </c>
    </row>
    <row r="72">
      <c r="A72" s="130" t="n">
        <v>71</v>
      </c>
      <c r="B72" s="130" t="inlineStr">
        <is>
          <t>OKR5</t>
        </is>
      </c>
      <c r="C72" s="130" t="inlineStr">
        <is>
          <t>OKR5.KR2</t>
        </is>
      </c>
    </row>
    <row r="73">
      <c r="A73" s="130" t="n">
        <v>72</v>
      </c>
      <c r="B73" s="130" t="inlineStr">
        <is>
          <t>OKR3</t>
        </is>
      </c>
      <c r="C73" s="130" t="inlineStr">
        <is>
          <t>OKR3.KR1</t>
        </is>
      </c>
    </row>
    <row r="74">
      <c r="A74" s="130" t="n">
        <v>73</v>
      </c>
      <c r="B74" s="130" t="inlineStr">
        <is>
          <t>OKR3</t>
        </is>
      </c>
      <c r="C74" s="130" t="inlineStr">
        <is>
          <t>OKR3.KR1</t>
        </is>
      </c>
    </row>
    <row r="75">
      <c r="A75" s="130" t="n">
        <v>74</v>
      </c>
      <c r="B75" s="130" t="inlineStr">
        <is>
          <t>OKR3</t>
        </is>
      </c>
      <c r="C75" s="130" t="inlineStr">
        <is>
          <t>OKR3.KR1</t>
        </is>
      </c>
    </row>
    <row r="76">
      <c r="A76" s="130" t="n">
        <v>75</v>
      </c>
      <c r="B76" s="130" t="inlineStr">
        <is>
          <t>OKR3</t>
        </is>
      </c>
      <c r="C76" s="130" t="inlineStr">
        <is>
          <t>OKR3.KR1</t>
        </is>
      </c>
    </row>
    <row r="77">
      <c r="A77" s="130" t="n">
        <v>76</v>
      </c>
      <c r="B77" s="130" t="inlineStr">
        <is>
          <t>OKR3</t>
        </is>
      </c>
      <c r="C77" s="130" t="inlineStr">
        <is>
          <t>OKR3.KR3</t>
        </is>
      </c>
    </row>
    <row r="78">
      <c r="A78" s="130" t="n">
        <v>77</v>
      </c>
      <c r="B78" s="130" t="inlineStr">
        <is>
          <t>OKR3</t>
        </is>
      </c>
      <c r="C78" s="130" t="inlineStr">
        <is>
          <t>OKR3.KR1</t>
        </is>
      </c>
    </row>
    <row r="79">
      <c r="A79" s="130" t="n">
        <v>78</v>
      </c>
      <c r="B79" s="130" t="inlineStr">
        <is>
          <t>OKR3</t>
        </is>
      </c>
      <c r="C79" s="130" t="inlineStr">
        <is>
          <t>OKR3.KR1</t>
        </is>
      </c>
    </row>
    <row r="80">
      <c r="A80" s="130" t="n">
        <v>79</v>
      </c>
      <c r="B80" s="130" t="inlineStr">
        <is>
          <t>OKR3</t>
        </is>
      </c>
      <c r="C80" s="130" t="inlineStr">
        <is>
          <t>OKR3.KR1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8" min="1" max="1"/>
    <col width="10" customWidth="1" style="108" min="2" max="2"/>
    <col width="10" customWidth="1" style="108" min="3" max="3"/>
  </cols>
  <sheetData>
    <row r="1">
      <c r="A1" s="129" t="inlineStr">
        <is>
          <t>ID</t>
        </is>
      </c>
      <c r="B1" s="129" t="inlineStr">
        <is>
          <t>KR_ID</t>
        </is>
      </c>
      <c r="C1" s="129" t="inlineStr">
        <is>
          <t>KPI_ID</t>
        </is>
      </c>
    </row>
    <row r="2">
      <c r="A2" s="130" t="n">
        <v>1</v>
      </c>
      <c r="B2" s="130" t="inlineStr">
        <is>
          <t>OKR2.KR2</t>
        </is>
      </c>
      <c r="C2" s="130" t="inlineStr">
        <is>
          <t>KPI07</t>
        </is>
      </c>
    </row>
    <row r="3">
      <c r="A3" s="130" t="n">
        <v>1</v>
      </c>
      <c r="B3" s="130" t="inlineStr">
        <is>
          <t>OKR2.KR2</t>
        </is>
      </c>
      <c r="C3" s="130" t="inlineStr">
        <is>
          <t>KPI08</t>
        </is>
      </c>
    </row>
    <row r="4">
      <c r="A4" s="130" t="n">
        <v>2</v>
      </c>
      <c r="B4" s="130" t="inlineStr">
        <is>
          <t>OKR2.KR2</t>
        </is>
      </c>
      <c r="C4" s="130" t="inlineStr">
        <is>
          <t>KPI07</t>
        </is>
      </c>
    </row>
    <row r="5">
      <c r="A5" s="130" t="n">
        <v>2</v>
      </c>
      <c r="B5" s="130" t="inlineStr">
        <is>
          <t>OKR2.KR2</t>
        </is>
      </c>
      <c r="C5" s="130" t="inlineStr">
        <is>
          <t>KPI08</t>
        </is>
      </c>
    </row>
    <row r="6">
      <c r="A6" s="130" t="n">
        <v>3</v>
      </c>
      <c r="B6" s="130" t="inlineStr">
        <is>
          <t>OKR5.KR1</t>
        </is>
      </c>
      <c r="C6" s="130" t="inlineStr">
        <is>
          <t>KPI19</t>
        </is>
      </c>
    </row>
    <row r="7">
      <c r="A7" s="130" t="n">
        <v>4</v>
      </c>
      <c r="B7" s="130" t="inlineStr">
        <is>
          <t>OKR1.KR3</t>
        </is>
      </c>
      <c r="C7" s="130" t="inlineStr">
        <is>
          <t>KPI03</t>
        </is>
      </c>
    </row>
    <row r="8">
      <c r="A8" s="130" t="n">
        <v>4</v>
      </c>
      <c r="B8" s="130" t="inlineStr">
        <is>
          <t>OKR1.KR3</t>
        </is>
      </c>
      <c r="C8" s="130" t="inlineStr">
        <is>
          <t>KPI04</t>
        </is>
      </c>
    </row>
    <row r="9">
      <c r="A9" s="130" t="n">
        <v>5</v>
      </c>
      <c r="B9" s="130" t="inlineStr">
        <is>
          <t>OKR1.KR3</t>
        </is>
      </c>
      <c r="C9" s="130" t="inlineStr">
        <is>
          <t>KPI03</t>
        </is>
      </c>
    </row>
    <row r="10">
      <c r="A10" s="130" t="n">
        <v>5</v>
      </c>
      <c r="B10" s="130" t="inlineStr">
        <is>
          <t>OKR1.KR3</t>
        </is>
      </c>
      <c r="C10" s="130" t="inlineStr">
        <is>
          <t>KPI04</t>
        </is>
      </c>
    </row>
    <row r="11">
      <c r="A11" s="130" t="n">
        <v>6</v>
      </c>
      <c r="B11" s="130" t="inlineStr">
        <is>
          <t>OKR1.KR1</t>
        </is>
      </c>
      <c r="C11" s="130" t="inlineStr">
        <is>
          <t>KPI01</t>
        </is>
      </c>
    </row>
    <row r="12">
      <c r="A12" s="130" t="n">
        <v>7</v>
      </c>
      <c r="B12" s="130" t="inlineStr">
        <is>
          <t>OKR1.KR1</t>
        </is>
      </c>
      <c r="C12" s="130" t="inlineStr">
        <is>
          <t>KPI01</t>
        </is>
      </c>
    </row>
    <row r="13">
      <c r="A13" s="130" t="n">
        <v>8</v>
      </c>
      <c r="B13" s="130" t="inlineStr">
        <is>
          <t>OKR5.KR1</t>
        </is>
      </c>
      <c r="C13" s="130" t="inlineStr">
        <is>
          <t>KPI19</t>
        </is>
      </c>
    </row>
    <row r="14">
      <c r="A14" s="130" t="n">
        <v>9</v>
      </c>
      <c r="B14" s="130" t="inlineStr">
        <is>
          <t>OKR1.KR1</t>
        </is>
      </c>
      <c r="C14" s="130" t="inlineStr">
        <is>
          <t>KPI01</t>
        </is>
      </c>
    </row>
    <row r="15">
      <c r="A15" s="130" t="n">
        <v>10</v>
      </c>
      <c r="B15" s="130" t="inlineStr">
        <is>
          <t>OKR2.KR1</t>
        </is>
      </c>
      <c r="C15" s="130" t="inlineStr">
        <is>
          <t>KPI06</t>
        </is>
      </c>
    </row>
    <row r="16">
      <c r="A16" s="130" t="n">
        <v>11</v>
      </c>
      <c r="B16" s="130" t="inlineStr">
        <is>
          <t>OKR2.KR2</t>
        </is>
      </c>
      <c r="C16" s="130" t="inlineStr">
        <is>
          <t>KPI07</t>
        </is>
      </c>
    </row>
    <row r="17">
      <c r="A17" s="130" t="n">
        <v>11</v>
      </c>
      <c r="B17" s="130" t="inlineStr">
        <is>
          <t>OKR2.KR2</t>
        </is>
      </c>
      <c r="C17" s="130" t="inlineStr">
        <is>
          <t>KPI08</t>
        </is>
      </c>
    </row>
    <row r="18">
      <c r="A18" s="130" t="n">
        <v>12</v>
      </c>
      <c r="B18" s="130" t="inlineStr">
        <is>
          <t>OKR1.KR1</t>
        </is>
      </c>
      <c r="C18" s="130" t="inlineStr">
        <is>
          <t>KPI01</t>
        </is>
      </c>
    </row>
    <row r="19">
      <c r="A19" s="130" t="n">
        <v>13</v>
      </c>
      <c r="B19" s="130" t="inlineStr">
        <is>
          <t>OKR3.KR3</t>
        </is>
      </c>
      <c r="C19" s="130" t="inlineStr">
        <is>
          <t>KPI13</t>
        </is>
      </c>
    </row>
    <row r="20">
      <c r="A20" s="130" t="n">
        <v>14</v>
      </c>
      <c r="B20" s="130" t="inlineStr">
        <is>
          <t>OKR2.KR1</t>
        </is>
      </c>
      <c r="C20" s="130" t="inlineStr">
        <is>
          <t>KPI06</t>
        </is>
      </c>
    </row>
    <row r="21">
      <c r="A21" s="130" t="n">
        <v>15</v>
      </c>
      <c r="B21" s="130" t="inlineStr">
        <is>
          <t>OKR2.KR2</t>
        </is>
      </c>
      <c r="C21" s="130" t="inlineStr">
        <is>
          <t>KPI07</t>
        </is>
      </c>
    </row>
    <row r="22">
      <c r="A22" s="130" t="n">
        <v>15</v>
      </c>
      <c r="B22" s="130" t="inlineStr">
        <is>
          <t>OKR2.KR2</t>
        </is>
      </c>
      <c r="C22" s="130" t="inlineStr">
        <is>
          <t>KPI08</t>
        </is>
      </c>
    </row>
    <row r="23">
      <c r="A23" s="130" t="n">
        <v>16</v>
      </c>
      <c r="B23" s="130" t="inlineStr">
        <is>
          <t>OKR2.KR2</t>
        </is>
      </c>
      <c r="C23" s="130" t="inlineStr">
        <is>
          <t>KPI07</t>
        </is>
      </c>
    </row>
    <row r="24">
      <c r="A24" s="130" t="n">
        <v>16</v>
      </c>
      <c r="B24" s="130" t="inlineStr">
        <is>
          <t>OKR2.KR2</t>
        </is>
      </c>
      <c r="C24" s="130" t="inlineStr">
        <is>
          <t>KPI08</t>
        </is>
      </c>
    </row>
    <row r="25">
      <c r="A25" s="130" t="n">
        <v>17</v>
      </c>
      <c r="B25" s="130" t="inlineStr">
        <is>
          <t>OKR2.KR2</t>
        </is>
      </c>
      <c r="C25" s="130" t="inlineStr">
        <is>
          <t>KPI07</t>
        </is>
      </c>
    </row>
    <row r="26">
      <c r="A26" s="130" t="n">
        <v>17</v>
      </c>
      <c r="B26" s="130" t="inlineStr">
        <is>
          <t>OKR2.KR2</t>
        </is>
      </c>
      <c r="C26" s="130" t="inlineStr">
        <is>
          <t>KPI08</t>
        </is>
      </c>
    </row>
    <row r="27">
      <c r="A27" s="130" t="n">
        <v>18</v>
      </c>
      <c r="B27" s="130" t="inlineStr">
        <is>
          <t>OKR2.KR1</t>
        </is>
      </c>
      <c r="C27" s="130" t="inlineStr">
        <is>
          <t>KPI06</t>
        </is>
      </c>
    </row>
    <row r="28">
      <c r="A28" s="130" t="n">
        <v>19</v>
      </c>
      <c r="B28" s="130" t="inlineStr">
        <is>
          <t>OKR2.KR1</t>
        </is>
      </c>
      <c r="C28" s="130" t="inlineStr">
        <is>
          <t>KPI06</t>
        </is>
      </c>
    </row>
    <row r="29">
      <c r="A29" s="130" t="n">
        <v>20</v>
      </c>
      <c r="B29" s="130" t="inlineStr">
        <is>
          <t>OKR2.KR1</t>
        </is>
      </c>
      <c r="C29" s="130" t="inlineStr">
        <is>
          <t>KPI06</t>
        </is>
      </c>
    </row>
    <row r="30">
      <c r="A30" s="130" t="n">
        <v>21</v>
      </c>
      <c r="B30" s="130" t="inlineStr">
        <is>
          <t>OKR4.KR1</t>
        </is>
      </c>
      <c r="C30" s="130" t="inlineStr">
        <is>
          <t>KPI15</t>
        </is>
      </c>
    </row>
    <row r="31">
      <c r="A31" s="130" t="n">
        <v>22</v>
      </c>
      <c r="B31" s="130" t="inlineStr">
        <is>
          <t>OKR2.KR1</t>
        </is>
      </c>
      <c r="C31" s="130" t="inlineStr">
        <is>
          <t>KPI06</t>
        </is>
      </c>
    </row>
    <row r="32">
      <c r="A32" s="130" t="n">
        <v>23</v>
      </c>
      <c r="B32" s="130" t="inlineStr">
        <is>
          <t>OKR2.KR1</t>
        </is>
      </c>
      <c r="C32" s="130" t="inlineStr">
        <is>
          <t>KPI06</t>
        </is>
      </c>
    </row>
    <row r="33">
      <c r="A33" s="130" t="n">
        <v>24</v>
      </c>
      <c r="B33" s="130" t="inlineStr">
        <is>
          <t>OKR1.KR3</t>
        </is>
      </c>
      <c r="C33" s="130" t="inlineStr">
        <is>
          <t>KPI03</t>
        </is>
      </c>
    </row>
    <row r="34">
      <c r="A34" s="130" t="n">
        <v>24</v>
      </c>
      <c r="B34" s="130" t="inlineStr">
        <is>
          <t>OKR1.KR3</t>
        </is>
      </c>
      <c r="C34" s="130" t="inlineStr">
        <is>
          <t>KPI04</t>
        </is>
      </c>
    </row>
    <row r="35">
      <c r="A35" s="130" t="n">
        <v>25</v>
      </c>
      <c r="B35" s="130" t="inlineStr">
        <is>
          <t>OKR5.KR1</t>
        </is>
      </c>
      <c r="C35" s="130" t="inlineStr">
        <is>
          <t>KPI19</t>
        </is>
      </c>
    </row>
    <row r="36">
      <c r="A36" s="130" t="n">
        <v>26</v>
      </c>
      <c r="B36" s="130" t="inlineStr">
        <is>
          <t>OKR1.KR4</t>
        </is>
      </c>
      <c r="C36" s="130" t="inlineStr">
        <is>
          <t>KPI05</t>
        </is>
      </c>
    </row>
    <row r="37">
      <c r="A37" s="130" t="n">
        <v>27</v>
      </c>
      <c r="B37" s="130" t="inlineStr">
        <is>
          <t>OKR1.KR1</t>
        </is>
      </c>
      <c r="C37" s="130" t="inlineStr">
        <is>
          <t>KPI01</t>
        </is>
      </c>
    </row>
    <row r="38">
      <c r="A38" s="130" t="n">
        <v>28</v>
      </c>
      <c r="B38" s="130" t="inlineStr">
        <is>
          <t>OKR2.KR2</t>
        </is>
      </c>
      <c r="C38" s="130" t="inlineStr">
        <is>
          <t>KPI07</t>
        </is>
      </c>
    </row>
    <row r="39">
      <c r="A39" s="130" t="n">
        <v>28</v>
      </c>
      <c r="B39" s="130" t="inlineStr">
        <is>
          <t>OKR2.KR2</t>
        </is>
      </c>
      <c r="C39" s="130" t="inlineStr">
        <is>
          <t>KPI08</t>
        </is>
      </c>
    </row>
    <row r="40">
      <c r="A40" s="130" t="n">
        <v>29</v>
      </c>
      <c r="B40" s="130" t="inlineStr">
        <is>
          <t>OKR2.KR2</t>
        </is>
      </c>
      <c r="C40" s="130" t="inlineStr">
        <is>
          <t>KPI07</t>
        </is>
      </c>
    </row>
    <row r="41">
      <c r="A41" s="130" t="n">
        <v>29</v>
      </c>
      <c r="B41" s="130" t="inlineStr">
        <is>
          <t>OKR2.KR2</t>
        </is>
      </c>
      <c r="C41" s="130" t="inlineStr">
        <is>
          <t>KPI08</t>
        </is>
      </c>
    </row>
    <row r="42">
      <c r="A42" s="130" t="n">
        <v>30</v>
      </c>
      <c r="B42" s="130" t="inlineStr">
        <is>
          <t>OKR2.KR2</t>
        </is>
      </c>
      <c r="C42" s="130" t="inlineStr">
        <is>
          <t>KPI07</t>
        </is>
      </c>
    </row>
    <row r="43">
      <c r="A43" s="130" t="n">
        <v>30</v>
      </c>
      <c r="B43" s="130" t="inlineStr">
        <is>
          <t>OKR2.KR2</t>
        </is>
      </c>
      <c r="C43" s="130" t="inlineStr">
        <is>
          <t>KPI08</t>
        </is>
      </c>
    </row>
    <row r="44">
      <c r="A44" s="130" t="n">
        <v>31</v>
      </c>
      <c r="B44" s="130" t="inlineStr">
        <is>
          <t>OKR2.KR1</t>
        </is>
      </c>
      <c r="C44" s="130" t="inlineStr">
        <is>
          <t>KPI06</t>
        </is>
      </c>
    </row>
    <row r="45">
      <c r="A45" s="130" t="n">
        <v>32</v>
      </c>
      <c r="B45" s="130" t="inlineStr">
        <is>
          <t>OKR2.KR1</t>
        </is>
      </c>
      <c r="C45" s="130" t="inlineStr">
        <is>
          <t>KPI06</t>
        </is>
      </c>
    </row>
    <row r="46">
      <c r="A46" s="130" t="n">
        <v>33</v>
      </c>
      <c r="B46" s="130" t="inlineStr">
        <is>
          <t>OKR2.KR2</t>
        </is>
      </c>
      <c r="C46" s="130" t="inlineStr">
        <is>
          <t>KPI07</t>
        </is>
      </c>
    </row>
    <row r="47">
      <c r="A47" s="130" t="n">
        <v>33</v>
      </c>
      <c r="B47" s="130" t="inlineStr">
        <is>
          <t>OKR2.KR2</t>
        </is>
      </c>
      <c r="C47" s="130" t="inlineStr">
        <is>
          <t>KPI08</t>
        </is>
      </c>
    </row>
    <row r="48">
      <c r="A48" s="130" t="n">
        <v>34</v>
      </c>
      <c r="B48" s="130" t="inlineStr">
        <is>
          <t>OKR2.KR2</t>
        </is>
      </c>
      <c r="C48" s="130" t="inlineStr">
        <is>
          <t>KPI07</t>
        </is>
      </c>
    </row>
    <row r="49">
      <c r="A49" s="130" t="n">
        <v>34</v>
      </c>
      <c r="B49" s="130" t="inlineStr">
        <is>
          <t>OKR2.KR2</t>
        </is>
      </c>
      <c r="C49" s="130" t="inlineStr">
        <is>
          <t>KPI08</t>
        </is>
      </c>
    </row>
    <row r="50">
      <c r="A50" s="130" t="n">
        <v>35</v>
      </c>
      <c r="B50" s="130" t="inlineStr">
        <is>
          <t>OKR2.KR1</t>
        </is>
      </c>
      <c r="C50" s="130" t="inlineStr">
        <is>
          <t>KPI06</t>
        </is>
      </c>
    </row>
    <row r="51">
      <c r="A51" s="130" t="n">
        <v>36</v>
      </c>
      <c r="B51" s="130" t="inlineStr">
        <is>
          <t>OKR2.KR1</t>
        </is>
      </c>
      <c r="C51" s="130" t="inlineStr">
        <is>
          <t>KPI06</t>
        </is>
      </c>
    </row>
    <row r="52">
      <c r="A52" s="130" t="n">
        <v>37</v>
      </c>
      <c r="B52" s="130" t="inlineStr">
        <is>
          <t>OKR2.KR1</t>
        </is>
      </c>
      <c r="C52" s="130" t="inlineStr">
        <is>
          <t>KPI06</t>
        </is>
      </c>
    </row>
    <row r="53">
      <c r="A53" s="130" t="n">
        <v>38</v>
      </c>
      <c r="B53" s="130" t="inlineStr">
        <is>
          <t>OKR2.KR2</t>
        </is>
      </c>
      <c r="C53" s="130" t="inlineStr">
        <is>
          <t>KPI07</t>
        </is>
      </c>
    </row>
    <row r="54">
      <c r="A54" s="130" t="n">
        <v>38</v>
      </c>
      <c r="B54" s="130" t="inlineStr">
        <is>
          <t>OKR2.KR2</t>
        </is>
      </c>
      <c r="C54" s="130" t="inlineStr">
        <is>
          <t>KPI08</t>
        </is>
      </c>
    </row>
    <row r="55">
      <c r="A55" s="130" t="n">
        <v>39</v>
      </c>
      <c r="B55" s="130" t="inlineStr">
        <is>
          <t>OKR4.KR1</t>
        </is>
      </c>
      <c r="C55" s="130" t="inlineStr">
        <is>
          <t>KPI15</t>
        </is>
      </c>
    </row>
    <row r="56">
      <c r="A56" s="130" t="n">
        <v>40</v>
      </c>
      <c r="B56" s="130" t="inlineStr">
        <is>
          <t>OKR4.KR1</t>
        </is>
      </c>
      <c r="C56" s="130" t="inlineStr">
        <is>
          <t>KPI15</t>
        </is>
      </c>
    </row>
    <row r="57">
      <c r="A57" s="130" t="n">
        <v>41</v>
      </c>
      <c r="B57" s="130" t="inlineStr">
        <is>
          <t>OKR2.KR1</t>
        </is>
      </c>
      <c r="C57" s="130" t="inlineStr">
        <is>
          <t>KPI06</t>
        </is>
      </c>
    </row>
    <row r="58">
      <c r="A58" s="130" t="n">
        <v>42</v>
      </c>
      <c r="B58" s="130" t="inlineStr">
        <is>
          <t>OKR3.KR1</t>
        </is>
      </c>
      <c r="C58" s="130" t="inlineStr">
        <is>
          <t>KPI11</t>
        </is>
      </c>
    </row>
    <row r="59">
      <c r="A59" s="130" t="n">
        <v>42</v>
      </c>
      <c r="B59" s="130" t="inlineStr">
        <is>
          <t>OKR3.KR1</t>
        </is>
      </c>
      <c r="C59" s="130" t="inlineStr">
        <is>
          <t>KPI12</t>
        </is>
      </c>
    </row>
    <row r="60">
      <c r="A60" s="130" t="n">
        <v>43</v>
      </c>
      <c r="B60" s="130" t="inlineStr">
        <is>
          <t>OKR5.KR1</t>
        </is>
      </c>
      <c r="C60" s="130" t="inlineStr">
        <is>
          <t>KPI19</t>
        </is>
      </c>
    </row>
    <row r="61">
      <c r="A61" s="130" t="n">
        <v>44</v>
      </c>
      <c r="B61" s="130" t="inlineStr">
        <is>
          <t>OKR5.KR1</t>
        </is>
      </c>
      <c r="C61" s="130" t="inlineStr">
        <is>
          <t>KPI19</t>
        </is>
      </c>
    </row>
    <row r="62">
      <c r="A62" s="130" t="n">
        <v>45</v>
      </c>
      <c r="B62" s="130" t="inlineStr">
        <is>
          <t>OKR4.KR1</t>
        </is>
      </c>
      <c r="C62" s="130" t="inlineStr">
        <is>
          <t>KPI15</t>
        </is>
      </c>
    </row>
    <row r="63">
      <c r="A63" s="130" t="n">
        <v>46</v>
      </c>
      <c r="B63" s="130" t="inlineStr">
        <is>
          <t>OKR4.KR1</t>
        </is>
      </c>
      <c r="C63" s="130" t="inlineStr">
        <is>
          <t>KPI15</t>
        </is>
      </c>
    </row>
    <row r="64">
      <c r="A64" s="130" t="n">
        <v>47</v>
      </c>
      <c r="B64" s="130" t="inlineStr">
        <is>
          <t>OKR4.KR1</t>
        </is>
      </c>
      <c r="C64" s="130" t="inlineStr">
        <is>
          <t>KPI15</t>
        </is>
      </c>
    </row>
    <row r="65">
      <c r="A65" s="130" t="n">
        <v>48</v>
      </c>
      <c r="B65" s="130" t="inlineStr">
        <is>
          <t>OKR5.KR1</t>
        </is>
      </c>
      <c r="C65" s="130" t="inlineStr">
        <is>
          <t>KPI19</t>
        </is>
      </c>
    </row>
    <row r="66">
      <c r="A66" s="130" t="n">
        <v>49</v>
      </c>
      <c r="B66" s="130" t="inlineStr">
        <is>
          <t>OKR4.KR1</t>
        </is>
      </c>
      <c r="C66" s="130" t="inlineStr">
        <is>
          <t>KPI15</t>
        </is>
      </c>
    </row>
    <row r="67">
      <c r="A67" s="130" t="n">
        <v>50</v>
      </c>
      <c r="B67" s="130" t="inlineStr">
        <is>
          <t>OKR3.KR1</t>
        </is>
      </c>
      <c r="C67" s="130" t="inlineStr">
        <is>
          <t>KPI11</t>
        </is>
      </c>
    </row>
    <row r="68">
      <c r="A68" s="130" t="n">
        <v>50</v>
      </c>
      <c r="B68" s="130" t="inlineStr">
        <is>
          <t>OKR3.KR1</t>
        </is>
      </c>
      <c r="C68" s="130" t="inlineStr">
        <is>
          <t>KPI12</t>
        </is>
      </c>
    </row>
    <row r="69">
      <c r="A69" s="130" t="n">
        <v>51</v>
      </c>
      <c r="B69" s="130" t="inlineStr">
        <is>
          <t>OKR3.KR1</t>
        </is>
      </c>
      <c r="C69" s="130" t="inlineStr">
        <is>
          <t>KPI11</t>
        </is>
      </c>
    </row>
    <row r="70">
      <c r="A70" s="130" t="n">
        <v>51</v>
      </c>
      <c r="B70" s="130" t="inlineStr">
        <is>
          <t>OKR3.KR1</t>
        </is>
      </c>
      <c r="C70" s="130" t="inlineStr">
        <is>
          <t>KPI12</t>
        </is>
      </c>
    </row>
    <row r="71">
      <c r="A71" s="130" t="n">
        <v>52</v>
      </c>
      <c r="B71" s="130" t="inlineStr">
        <is>
          <t>OKR3.KR1</t>
        </is>
      </c>
      <c r="C71" s="130" t="inlineStr">
        <is>
          <t>KPI11</t>
        </is>
      </c>
    </row>
    <row r="72">
      <c r="A72" s="130" t="n">
        <v>52</v>
      </c>
      <c r="B72" s="130" t="inlineStr">
        <is>
          <t>OKR3.KR1</t>
        </is>
      </c>
      <c r="C72" s="130" t="inlineStr">
        <is>
          <t>KPI12</t>
        </is>
      </c>
    </row>
    <row r="73">
      <c r="A73" s="130" t="n">
        <v>53</v>
      </c>
      <c r="B73" s="130" t="inlineStr">
        <is>
          <t>OKR3.KR1</t>
        </is>
      </c>
      <c r="C73" s="130" t="inlineStr">
        <is>
          <t>KPI11</t>
        </is>
      </c>
    </row>
    <row r="74">
      <c r="A74" s="130" t="n">
        <v>53</v>
      </c>
      <c r="B74" s="130" t="inlineStr">
        <is>
          <t>OKR3.KR1</t>
        </is>
      </c>
      <c r="C74" s="130" t="inlineStr">
        <is>
          <t>KPI12</t>
        </is>
      </c>
    </row>
    <row r="75">
      <c r="A75" s="130" t="n">
        <v>54</v>
      </c>
      <c r="B75" s="130" t="inlineStr">
        <is>
          <t>OKR5.KR1</t>
        </is>
      </c>
      <c r="C75" s="130" t="inlineStr">
        <is>
          <t>KPI19</t>
        </is>
      </c>
    </row>
    <row r="76">
      <c r="A76" s="130" t="n">
        <v>55</v>
      </c>
      <c r="B76" s="130" t="inlineStr">
        <is>
          <t>OKR4.KR1</t>
        </is>
      </c>
      <c r="C76" s="130" t="inlineStr">
        <is>
          <t>KPI15</t>
        </is>
      </c>
    </row>
    <row r="77">
      <c r="A77" s="130" t="n">
        <v>56</v>
      </c>
      <c r="B77" s="130" t="inlineStr">
        <is>
          <t>OKR4.KR1</t>
        </is>
      </c>
      <c r="C77" s="130" t="inlineStr">
        <is>
          <t>KPI15</t>
        </is>
      </c>
    </row>
    <row r="78">
      <c r="A78" s="130" t="n">
        <v>57</v>
      </c>
      <c r="B78" s="130" t="inlineStr">
        <is>
          <t>OKR3.KR1</t>
        </is>
      </c>
      <c r="C78" s="130" t="inlineStr">
        <is>
          <t>KPI11</t>
        </is>
      </c>
    </row>
    <row r="79">
      <c r="A79" s="130" t="n">
        <v>57</v>
      </c>
      <c r="B79" s="130" t="inlineStr">
        <is>
          <t>OKR3.KR1</t>
        </is>
      </c>
      <c r="C79" s="130" t="inlineStr">
        <is>
          <t>KPI12</t>
        </is>
      </c>
    </row>
    <row r="80">
      <c r="A80" s="130" t="n">
        <v>58</v>
      </c>
      <c r="B80" s="130" t="inlineStr">
        <is>
          <t>OKR3.KR1</t>
        </is>
      </c>
      <c r="C80" s="130" t="inlineStr">
        <is>
          <t>KPI11</t>
        </is>
      </c>
    </row>
    <row r="81">
      <c r="A81" s="130" t="n">
        <v>58</v>
      </c>
      <c r="B81" s="130" t="inlineStr">
        <is>
          <t>OKR3.KR1</t>
        </is>
      </c>
      <c r="C81" s="130" t="inlineStr">
        <is>
          <t>KPI12</t>
        </is>
      </c>
    </row>
    <row r="82">
      <c r="A82" s="130" t="n">
        <v>59</v>
      </c>
      <c r="B82" s="130" t="inlineStr">
        <is>
          <t>OKR3.KR1</t>
        </is>
      </c>
      <c r="C82" s="130" t="inlineStr">
        <is>
          <t>KPI11</t>
        </is>
      </c>
    </row>
    <row r="83">
      <c r="A83" s="130" t="n">
        <v>59</v>
      </c>
      <c r="B83" s="130" t="inlineStr">
        <is>
          <t>OKR3.KR1</t>
        </is>
      </c>
      <c r="C83" s="130" t="inlineStr">
        <is>
          <t>KPI12</t>
        </is>
      </c>
    </row>
    <row r="84">
      <c r="A84" s="130" t="n">
        <v>60</v>
      </c>
      <c r="B84" s="130" t="inlineStr">
        <is>
          <t>OKR3.KR1</t>
        </is>
      </c>
      <c r="C84" s="130" t="inlineStr">
        <is>
          <t>KPI11</t>
        </is>
      </c>
    </row>
    <row r="85">
      <c r="A85" s="130" t="n">
        <v>60</v>
      </c>
      <c r="B85" s="130" t="inlineStr">
        <is>
          <t>OKR3.KR1</t>
        </is>
      </c>
      <c r="C85" s="130" t="inlineStr">
        <is>
          <t>KPI12</t>
        </is>
      </c>
    </row>
    <row r="86">
      <c r="A86" s="130" t="n">
        <v>61</v>
      </c>
      <c r="B86" s="130" t="inlineStr">
        <is>
          <t>OKR3.KR1</t>
        </is>
      </c>
      <c r="C86" s="130" t="inlineStr">
        <is>
          <t>KPI11</t>
        </is>
      </c>
    </row>
    <row r="87">
      <c r="A87" s="130" t="n">
        <v>61</v>
      </c>
      <c r="B87" s="130" t="inlineStr">
        <is>
          <t>OKR3.KR1</t>
        </is>
      </c>
      <c r="C87" s="130" t="inlineStr">
        <is>
          <t>KPI12</t>
        </is>
      </c>
    </row>
    <row r="88">
      <c r="A88" s="130" t="n">
        <v>62</v>
      </c>
      <c r="B88" s="130" t="inlineStr">
        <is>
          <t>OKR5.KR1</t>
        </is>
      </c>
      <c r="C88" s="130" t="inlineStr">
        <is>
          <t>KPI19</t>
        </is>
      </c>
    </row>
    <row r="89">
      <c r="A89" s="130" t="n">
        <v>63</v>
      </c>
      <c r="B89" s="130" t="inlineStr">
        <is>
          <t>OKR3.KR2</t>
        </is>
      </c>
      <c r="C89" s="130" t="inlineStr">
        <is>
          <t>KPI14</t>
        </is>
      </c>
    </row>
    <row r="90">
      <c r="A90" s="130" t="n">
        <v>64</v>
      </c>
      <c r="B90" s="130" t="inlineStr">
        <is>
          <t>OKR3.KR1</t>
        </is>
      </c>
      <c r="C90" s="130" t="inlineStr">
        <is>
          <t>KPI11</t>
        </is>
      </c>
    </row>
    <row r="91">
      <c r="A91" s="130" t="n">
        <v>64</v>
      </c>
      <c r="B91" s="130" t="inlineStr">
        <is>
          <t>OKR3.KR1</t>
        </is>
      </c>
      <c r="C91" s="130" t="inlineStr">
        <is>
          <t>KPI12</t>
        </is>
      </c>
    </row>
    <row r="92">
      <c r="A92" s="130" t="n">
        <v>65</v>
      </c>
      <c r="B92" s="130" t="inlineStr">
        <is>
          <t>OKR5.KR2</t>
        </is>
      </c>
      <c r="C92" s="130" t="inlineStr">
        <is>
          <t>KPI20</t>
        </is>
      </c>
    </row>
    <row r="93">
      <c r="A93" s="130" t="n">
        <v>66</v>
      </c>
      <c r="B93" s="130" t="inlineStr">
        <is>
          <t>OKR4.KR1</t>
        </is>
      </c>
      <c r="C93" s="130" t="inlineStr">
        <is>
          <t>KPI15</t>
        </is>
      </c>
    </row>
    <row r="94">
      <c r="A94" s="130" t="n">
        <v>67</v>
      </c>
      <c r="B94" s="130" t="inlineStr">
        <is>
          <t>OKR4.KR3</t>
        </is>
      </c>
      <c r="C94" s="130" t="inlineStr">
        <is>
          <t>KPI17</t>
        </is>
      </c>
    </row>
    <row r="95">
      <c r="A95" s="130" t="n">
        <v>67</v>
      </c>
      <c r="B95" s="130" t="inlineStr">
        <is>
          <t>OKR4.KR3</t>
        </is>
      </c>
      <c r="C95" s="130" t="inlineStr">
        <is>
          <t>KPI18</t>
        </is>
      </c>
    </row>
    <row r="96">
      <c r="A96" s="130" t="n">
        <v>68</v>
      </c>
      <c r="B96" s="130" t="inlineStr">
        <is>
          <t>OKR4.KR1</t>
        </is>
      </c>
      <c r="C96" s="130" t="inlineStr">
        <is>
          <t>KPI15</t>
        </is>
      </c>
    </row>
    <row r="97">
      <c r="A97" s="130" t="n">
        <v>69</v>
      </c>
      <c r="B97" s="130" t="inlineStr">
        <is>
          <t>OKR5.KR2</t>
        </is>
      </c>
      <c r="C97" s="130" t="inlineStr">
        <is>
          <t>KPI20</t>
        </is>
      </c>
    </row>
    <row r="98">
      <c r="A98" s="130" t="n">
        <v>70</v>
      </c>
      <c r="B98" s="130" t="inlineStr">
        <is>
          <t>OKR5.KR1</t>
        </is>
      </c>
      <c r="C98" s="130" t="inlineStr">
        <is>
          <t>KPI19</t>
        </is>
      </c>
    </row>
    <row r="99">
      <c r="A99" s="130" t="n">
        <v>71</v>
      </c>
      <c r="B99" s="130" t="inlineStr">
        <is>
          <t>OKR5.KR2</t>
        </is>
      </c>
      <c r="C99" s="130" t="inlineStr">
        <is>
          <t>KPI20</t>
        </is>
      </c>
    </row>
    <row r="100">
      <c r="A100" s="130" t="n">
        <v>72</v>
      </c>
      <c r="B100" s="130" t="inlineStr">
        <is>
          <t>OKR3.KR1</t>
        </is>
      </c>
      <c r="C100" s="130" t="inlineStr">
        <is>
          <t>KPI11</t>
        </is>
      </c>
    </row>
    <row r="101">
      <c r="A101" s="130" t="n">
        <v>72</v>
      </c>
      <c r="B101" s="130" t="inlineStr">
        <is>
          <t>OKR3.KR1</t>
        </is>
      </c>
      <c r="C101" s="130" t="inlineStr">
        <is>
          <t>KPI12</t>
        </is>
      </c>
    </row>
    <row r="102">
      <c r="A102" s="130" t="n">
        <v>73</v>
      </c>
      <c r="B102" s="130" t="inlineStr">
        <is>
          <t>OKR3.KR1</t>
        </is>
      </c>
      <c r="C102" s="130" t="inlineStr">
        <is>
          <t>KPI11</t>
        </is>
      </c>
    </row>
    <row r="103">
      <c r="A103" s="130" t="n">
        <v>73</v>
      </c>
      <c r="B103" s="130" t="inlineStr">
        <is>
          <t>OKR3.KR1</t>
        </is>
      </c>
      <c r="C103" s="130" t="inlineStr">
        <is>
          <t>KPI12</t>
        </is>
      </c>
    </row>
    <row r="104">
      <c r="A104" s="130" t="n">
        <v>74</v>
      </c>
      <c r="B104" s="130" t="inlineStr">
        <is>
          <t>OKR3.KR1</t>
        </is>
      </c>
      <c r="C104" s="130" t="inlineStr">
        <is>
          <t>KPI11</t>
        </is>
      </c>
    </row>
    <row r="105">
      <c r="A105" s="130" t="n">
        <v>74</v>
      </c>
      <c r="B105" s="130" t="inlineStr">
        <is>
          <t>OKR3.KR1</t>
        </is>
      </c>
      <c r="C105" s="130" t="inlineStr">
        <is>
          <t>KPI12</t>
        </is>
      </c>
    </row>
    <row r="106">
      <c r="A106" s="130" t="n">
        <v>75</v>
      </c>
      <c r="B106" s="130" t="inlineStr">
        <is>
          <t>OKR3.KR1</t>
        </is>
      </c>
      <c r="C106" s="130" t="inlineStr">
        <is>
          <t>KPI11</t>
        </is>
      </c>
    </row>
    <row r="107">
      <c r="A107" s="130" t="n">
        <v>75</v>
      </c>
      <c r="B107" s="130" t="inlineStr">
        <is>
          <t>OKR3.KR1</t>
        </is>
      </c>
      <c r="C107" s="130" t="inlineStr">
        <is>
          <t>KPI12</t>
        </is>
      </c>
    </row>
    <row r="108">
      <c r="A108" s="130" t="n">
        <v>76</v>
      </c>
      <c r="B108" s="130" t="inlineStr">
        <is>
          <t>OKR3.KR3</t>
        </is>
      </c>
      <c r="C108" s="130" t="inlineStr">
        <is>
          <t>KPI13</t>
        </is>
      </c>
    </row>
    <row r="109">
      <c r="A109" s="130" t="n">
        <v>77</v>
      </c>
      <c r="B109" s="130" t="inlineStr">
        <is>
          <t>OKR3.KR1</t>
        </is>
      </c>
      <c r="C109" s="130" t="inlineStr">
        <is>
          <t>KPI11</t>
        </is>
      </c>
    </row>
    <row r="110">
      <c r="A110" s="130" t="n">
        <v>77</v>
      </c>
      <c r="B110" s="130" t="inlineStr">
        <is>
          <t>OKR3.KR1</t>
        </is>
      </c>
      <c r="C110" s="130" t="inlineStr">
        <is>
          <t>KPI12</t>
        </is>
      </c>
    </row>
    <row r="111">
      <c r="A111" s="130" t="n">
        <v>78</v>
      </c>
      <c r="B111" s="130" t="inlineStr">
        <is>
          <t>OKR3.KR1</t>
        </is>
      </c>
      <c r="C111" s="130" t="inlineStr">
        <is>
          <t>KPI11</t>
        </is>
      </c>
    </row>
    <row r="112">
      <c r="A112" s="130" t="n">
        <v>78</v>
      </c>
      <c r="B112" s="130" t="inlineStr">
        <is>
          <t>OKR3.KR1</t>
        </is>
      </c>
      <c r="C112" s="130" t="inlineStr">
        <is>
          <t>KPI12</t>
        </is>
      </c>
    </row>
    <row r="113">
      <c r="A113" s="130" t="n">
        <v>79</v>
      </c>
      <c r="B113" s="130" t="inlineStr">
        <is>
          <t>OKR3.KR1</t>
        </is>
      </c>
      <c r="C113" s="130" t="inlineStr">
        <is>
          <t>KPI11</t>
        </is>
      </c>
    </row>
    <row r="114">
      <c r="A114" s="130" t="n">
        <v>79</v>
      </c>
      <c r="B114" s="130" t="inlineStr">
        <is>
          <t>OKR3.KR1</t>
        </is>
      </c>
      <c r="C114" s="130" t="inlineStr">
        <is>
          <t>KPI12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KR_ID</t>
        </is>
      </c>
    </row>
    <row r="2">
      <c r="A2" t="inlineStr">
        <is>
          <t>OKR1.KR1</t>
        </is>
      </c>
    </row>
    <row r="3">
      <c r="A3" t="inlineStr">
        <is>
          <t>OKR1.KR2</t>
        </is>
      </c>
    </row>
    <row r="4">
      <c r="A4" t="inlineStr">
        <is>
          <t>OKR1.KR3</t>
        </is>
      </c>
    </row>
    <row r="5">
      <c r="A5" t="inlineStr">
        <is>
          <t>OKR1.KR4</t>
        </is>
      </c>
    </row>
    <row r="6">
      <c r="A6" t="inlineStr">
        <is>
          <t>OKR2.KR1</t>
        </is>
      </c>
    </row>
    <row r="7">
      <c r="A7" t="inlineStr">
        <is>
          <t>OKR2.KR2</t>
        </is>
      </c>
    </row>
    <row r="8">
      <c r="A8" t="inlineStr">
        <is>
          <t>OKR2.KR3</t>
        </is>
      </c>
    </row>
    <row r="9">
      <c r="A9" t="inlineStr">
        <is>
          <t>OKR2.KR4</t>
        </is>
      </c>
    </row>
    <row r="10">
      <c r="A10" t="inlineStr">
        <is>
          <t>OKR3.KR1</t>
        </is>
      </c>
    </row>
    <row r="11">
      <c r="A11" t="inlineStr">
        <is>
          <t>OKR3.KR2</t>
        </is>
      </c>
    </row>
    <row r="12">
      <c r="A12" t="inlineStr">
        <is>
          <t>OKR3.KR3</t>
        </is>
      </c>
    </row>
    <row r="13">
      <c r="A13" t="inlineStr">
        <is>
          <t>OKR4.KR1</t>
        </is>
      </c>
    </row>
    <row r="14">
      <c r="A14" t="inlineStr">
        <is>
          <t>OKR4.KR2</t>
        </is>
      </c>
    </row>
    <row r="15">
      <c r="A15" t="inlineStr">
        <is>
          <t>OKR4.KR3</t>
        </is>
      </c>
    </row>
    <row r="16">
      <c r="A16" t="inlineStr">
        <is>
          <t>OKR5.KR1</t>
        </is>
      </c>
    </row>
    <row r="17">
      <c r="A17" t="inlineStr">
        <is>
          <t>OKR5.KR2</t>
        </is>
      </c>
    </row>
    <row r="18">
      <c r="A18" t="inlineStr">
        <is>
          <t>OKR5.KR3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radardeprojetos@gmail.com</dc:creator>
  <dcterms:created xmlns:dcterms="http://purl.org/dc/terms/" xmlns:xsi="http://www.w3.org/2001/XMLSchema-instance" xsi:type="dcterms:W3CDTF">2013-07-16T19:32:53Z</dcterms:created>
  <dcterms:modified xmlns:dcterms="http://purl.org/dc/terms/" xmlns:xsi="http://www.w3.org/2001/XMLSchema-instance" xsi:type="dcterms:W3CDTF">2026-02-16T19:54:51Z</dcterms:modified>
</cp:coreProperties>
</file>

<file path=docProps/custom.xml><?xml version="1.0" encoding="utf-8"?>
<Properties xmlns="http://schemas.openxmlformats.org/officeDocument/2006/custom-properties">
  <property name="Version" fmtid="{D5CDD505-2E9C-101B-9397-08002B2CF9AE}" pid="2">
    <vt:lpwstr xmlns:vt="http://schemas.openxmlformats.org/officeDocument/2006/docPropsVTypes">1.0.0</vt:lpwstr>
  </property>
  <property name="Copyright" fmtid="{D5CDD505-2E9C-101B-9397-08002B2CF9AE}" pid="3">
    <vt:lpwstr xmlns:vt="http://schemas.openxmlformats.org/officeDocument/2006/docPropsVTypes">2014 Vertex42 LLC</vt:lpwstr>
  </property>
  <property name="Source" fmtid="{D5CDD505-2E9C-101B-9397-08002B2CF9AE}" pid="4">
    <vt:lpwstr xmlns:vt="http://schemas.openxmlformats.org/officeDocument/2006/docPropsVTypes">http://www.vertex42.com/ExcelTemplates/travel-budget-worksheet.html</vt:lpwstr>
  </property>
</Properties>
</file>